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Travail\BDD\IA\2. Fiches de documentation\A100 P100 1B PCL 40GB\"/>
    </mc:Choice>
  </mc:AlternateContent>
  <xr:revisionPtr revIDLastSave="0" documentId="13_ncr:1_{3D75324E-4622-4AC4-9CBC-1CAF8467D954}" xr6:coauthVersionLast="47" xr6:coauthVersionMax="47" xr10:uidLastSave="{00000000-0000-0000-0000-000000000000}"/>
  <bookViews>
    <workbookView xWindow="-19305" yWindow="0" windowWidth="19410" windowHeight="20985" xr2:uid="{00000000-000D-0000-FFFF-FFFF00000000}"/>
  </bookViews>
  <sheets>
    <sheet name="BOM" sheetId="1" r:id="rId1"/>
  </sheets>
  <calcPr calcId="191029"/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4" i="1"/>
  <c r="F15" i="1" l="1"/>
</calcChain>
</file>

<file path=xl/sharedStrings.xml><?xml version="1.0" encoding="utf-8"?>
<sst xmlns="http://schemas.openxmlformats.org/spreadsheetml/2006/main" count="125" uniqueCount="92">
  <si>
    <t>Flow</t>
  </si>
  <si>
    <t/>
  </si>
  <si>
    <t>Product flow / Materials production / Water / water</t>
  </si>
  <si>
    <t>kg</t>
  </si>
  <si>
    <t>Product flow / Materials production / Inorganic chemicals / Nitrogen liquid; at plant</t>
  </si>
  <si>
    <t>Product flow / Materials production / Metals and semimetals / copper</t>
  </si>
  <si>
    <t>Product flow / Energy carriers and technologies / Natural gas based fuels / natural gas</t>
  </si>
  <si>
    <t>Product flow / Materials production / Metals and semimetals / zamak</t>
  </si>
  <si>
    <t>Product flow / Materials production / Inorganic chemicals / sulfuric acid</t>
  </si>
  <si>
    <t>Product flow / Materials production / Inorganic chemicals / hydrogen peroxide</t>
  </si>
  <si>
    <t>Product flow / Materials production / Inorganic chemicals / quick lime</t>
  </si>
  <si>
    <t>Product flow / Materials production / Glass and ceramics / glass fibre</t>
  </si>
  <si>
    <t>Product flow / Materials production / Inorganic chemicals / quartz sand</t>
  </si>
  <si>
    <t>Product flow / Materials production / Inorganic chemicals / Argon; liquid; at plant</t>
  </si>
  <si>
    <t>Product flow / Materials production / Plastics / epoxy resin</t>
  </si>
  <si>
    <t>Product flow / Materials production / Inorganic chemicals / hydrogen chloride</t>
  </si>
  <si>
    <t>Product flow / Materials production / Inorganic chemicals / Oxygen liquid; at plant</t>
  </si>
  <si>
    <t>Product flow / Materials production / Plastics / polyethylene high density granulate (PE-HD); production mix, at plant</t>
  </si>
  <si>
    <t>Product flow / Materials production / Organic chemicals / Isopropanol; at plant</t>
  </si>
  <si>
    <t>Product flow / Materials production / Inorganic chemicals / fluorhydric acid</t>
  </si>
  <si>
    <t>Product flow / Materials production / Inorganic chemicals / ammonia</t>
  </si>
  <si>
    <t>Product flow / Materials production / Inorganic chemicals / hydrogen</t>
  </si>
  <si>
    <t>Product flow / Materials production / Metals and semimetals / cast iron</t>
  </si>
  <si>
    <t>Product flow / Materials production / Inorganic chemicals / sodium hydroxide</t>
  </si>
  <si>
    <t>Product flow / Materials production / Organic chemicals / tetrabromobisphenol A</t>
  </si>
  <si>
    <t>Product flow / Materials production / Metals and semimetals / tin</t>
  </si>
  <si>
    <t>Product flow / Materials production / Inorganic chemicals / phosphoric acid; at plant; 85% in H2O</t>
  </si>
  <si>
    <t>Product flow / Materials production / Metals and semimetals / aluminium</t>
  </si>
  <si>
    <t>Product flow / Materials production / Inorganic chemicals / barium oxide</t>
  </si>
  <si>
    <t>Product flow / Materials production / Inorganic chemicals / alumine</t>
  </si>
  <si>
    <t>Product flow / Materials production / Metals and semimetals / nickel</t>
  </si>
  <si>
    <t>Product flow / Materials production / Inorganic chemicals / sodium hypochlorite; production mix, at plant; 15% in H2O</t>
  </si>
  <si>
    <t>Product flow / Materials production / Other mineralic materials / single crystalline silicon; Czochralski process; at plant; electronic grade</t>
  </si>
  <si>
    <t>Product flow / Materials production / Organic chemicals / methyl methacrylate</t>
  </si>
  <si>
    <t>Product flow / Materials production / Inorganic chemicals / tetrachlorosilane; trichlorosilane hydrogenation; production mix, at plant</t>
  </si>
  <si>
    <t>Product flow / Materials production / Other materials / electrolyte (unspecified)</t>
  </si>
  <si>
    <t>Product flow / Materials production / Organic chemicals / acetone</t>
  </si>
  <si>
    <t>Product flow / Materials production / Inorganic chemicals / potassium hydroxide</t>
  </si>
  <si>
    <t>Product flow / Materials production / Inorganic chemicals / nitric acid</t>
  </si>
  <si>
    <t>Product flow / Materials production / Metals and semimetals / titanium</t>
  </si>
  <si>
    <t>Product flow / Materials production / Plastics / phenolic resin</t>
  </si>
  <si>
    <t>Product flow / Materials production / Metals and semimetals / manganese</t>
  </si>
  <si>
    <t>Product flow / Materials production / Paper and cardboards / paper</t>
  </si>
  <si>
    <t>Product flow / Materials production / Plastics / polyvinyl chloride</t>
  </si>
  <si>
    <t>Product flow / Materials production / Inorganic chemicals / sodium chloride</t>
  </si>
  <si>
    <t>Product flow / Materials production / Organic chemicals / acetic acid</t>
  </si>
  <si>
    <t>Product flow / Materials production / Plastics / epoxy resin liquid; production mix, at plant</t>
  </si>
  <si>
    <t>Product flow / Materials production / Organic chemicals / lubricant (unspecified)</t>
  </si>
  <si>
    <t>Product flow / Materials production / Metals and semimetals / silicon</t>
  </si>
  <si>
    <t>Product flow / Materials production / Organic chemicals / ethanol</t>
  </si>
  <si>
    <t>Product flow / Materials production / Plastics / styrene butadiene rubber</t>
  </si>
  <si>
    <t>Product flow / Materials production / Inorganic chemicals / titanium dioxide</t>
  </si>
  <si>
    <t>Product flow / Materials production / Metals and semimetals / zinc, special high grade; primary production; production mix, at plant; 99.99% Zn</t>
  </si>
  <si>
    <t>Product flow / Materials production / Plastics / polyimide</t>
  </si>
  <si>
    <t>Product flow / Materials production / Organic chemicals / carbon dioxide; out of waste gases; production mix, at plant; liquid</t>
  </si>
  <si>
    <t>Product flow / Materials production / Inorganic chemicals / chlorine; production mix, at plant; liquid</t>
  </si>
  <si>
    <t>Product flow / Materials production / Organic chemicals / ethylene glycol; oxidation of ethylene oxide; production mix, at plant</t>
  </si>
  <si>
    <t>Product flow / Materials production / Inorganic chemicals / silane</t>
  </si>
  <si>
    <t>Product flow / Materials production / Metals and semimetals / silver</t>
  </si>
  <si>
    <t>Product flow / Materials production / Metals and semimetals / magnesium</t>
  </si>
  <si>
    <t>Product flow / Materials production / Organic chemicals / carbon monoxide; from heavy fuel oil; production mix, at plant</t>
  </si>
  <si>
    <t>Product flow / Materials production / Inorganic chemicals / sulfur hexafluoride</t>
  </si>
  <si>
    <t>Product flow / Materials production / Metals and semimetals / gold</t>
  </si>
  <si>
    <t>Product flow / Materials production / Inorganic chemicals / magnesium oxide</t>
  </si>
  <si>
    <t>Product flow / Materials production / Metals and semimetals / lead</t>
  </si>
  <si>
    <t>Product flow / Materials production / Metals and semimetals / chromium</t>
  </si>
  <si>
    <t>Product flow / Materials production / Metals and semimetals / silver; 27,3% recycled content; production mix, at plant</t>
  </si>
  <si>
    <t>Product flow / ecoivent / palladium</t>
  </si>
  <si>
    <t>Product flow / Materials production / Inorganic chemicals / antimony trioxide</t>
  </si>
  <si>
    <t>Product flow / ecoivent / copper oxide</t>
  </si>
  <si>
    <t>Product flow / Materials production / Metals and semimetals / zinc</t>
  </si>
  <si>
    <t>Product flow / Materials production / Inorganic chemicals / potassium oxide</t>
  </si>
  <si>
    <t>Product flow / Materials production / Inorganic chemicals / talc</t>
  </si>
  <si>
    <t>Product flow / ecoivent / iron pellet</t>
  </si>
  <si>
    <t>Product flow / Materials production / Metals and semimetals / lithium</t>
  </si>
  <si>
    <t>Product flow / Materials production / Organic chemicals / carbon black</t>
  </si>
  <si>
    <t>Product flow / Materials production / Metals and semimetals / cadmium</t>
  </si>
  <si>
    <t>Product flow / Materials production / Glass and ceramics / ceramic; electronic grade</t>
  </si>
  <si>
    <t>Product flow / ecoivent / phosphorus, white, liquid</t>
  </si>
  <si>
    <t>Ecosystem data</t>
  </si>
  <si>
    <t>Copper</t>
  </si>
  <si>
    <t>Steel</t>
  </si>
  <si>
    <t>PCB support</t>
  </si>
  <si>
    <t>PCB other base metals</t>
  </si>
  <si>
    <t>ABS-PC</t>
  </si>
  <si>
    <t>Aluminium</t>
  </si>
  <si>
    <t>PE within wire</t>
  </si>
  <si>
    <t>Lead</t>
  </si>
  <si>
    <t>Silver</t>
  </si>
  <si>
    <t>Gold</t>
  </si>
  <si>
    <t>Weight</t>
  </si>
  <si>
    <t>somme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</si>
</sst>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Verdana"/>
    </font>
    <font>
      <b/>
      <sz val="10"/>
      <name val="Verdana"/>
      <family val="2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"/>
  <sheetViews>
    <sheetView tabSelected="1" workbookViewId="0">
      <selection activeCell="C76" sqref="C76"/>
    </sheetView>
  </sheetViews>
  <sheetFormatPr baseColWidth="10" defaultRowHeight="12.6" x14ac:dyDescent="0.2"/>
  <cols>
    <col min="1" max="1" width="56.08984375" customWidth="1"/>
  </cols>
  <sheetData>
    <row r="1" spans="1:6" x14ac:dyDescent="0.2">
      <c r="A1" t="s">
        <v>0</v>
      </c>
      <c r="B1" t="s">
        <v>90</v>
      </c>
    </row>
    <row r="2" spans="1:6" x14ac:dyDescent="0.2">
      <c r="A2" t="s">
        <v>1</v>
      </c>
      <c r="B2" t="s">
        <v>3</v>
      </c>
    </row>
    <row r="3" spans="1:6" x14ac:dyDescent="0.2">
      <c r="A3" t="s">
        <v>2</v>
      </c>
      <c r="B3" s="1">
        <v>57.476459519999999</v>
      </c>
      <c r="E3" s="2" t="s">
        <v>79</v>
      </c>
      <c r="F3" s="3" t="s">
        <v>3</v>
      </c>
    </row>
    <row r="4" spans="1:6" x14ac:dyDescent="0.2">
      <c r="A4" t="s">
        <v>4</v>
      </c>
      <c r="B4" s="1">
        <v>2.95293174221232</v>
      </c>
      <c r="E4" t="s">
        <v>80</v>
      </c>
      <c r="F4">
        <f>SUMIF($C$3:$C$78,E4,$B$3:$B$78)</f>
        <v>0.6755723455678273</v>
      </c>
    </row>
    <row r="5" spans="1:6" x14ac:dyDescent="0.2">
      <c r="A5" t="s">
        <v>5</v>
      </c>
      <c r="B5" s="1">
        <v>0.67556853271915807</v>
      </c>
      <c r="C5" s="3" t="s">
        <v>80</v>
      </c>
      <c r="E5" t="s">
        <v>81</v>
      </c>
      <c r="F5">
        <f t="shared" ref="F5:F13" si="0">SUMIF($C$3:$C$78,E5,$B$3:$B$78)</f>
        <v>1.567681593406593E-6</v>
      </c>
    </row>
    <row r="6" spans="1:6" x14ac:dyDescent="0.2">
      <c r="A6" t="s">
        <v>6</v>
      </c>
      <c r="B6" s="1">
        <v>0.55315003679999997</v>
      </c>
      <c r="E6" t="s">
        <v>82</v>
      </c>
      <c r="F6">
        <f t="shared" si="0"/>
        <v>0.10374273159644833</v>
      </c>
    </row>
    <row r="7" spans="1:6" x14ac:dyDescent="0.2">
      <c r="A7" t="s">
        <v>7</v>
      </c>
      <c r="B7" s="1">
        <v>0.38700000000000001</v>
      </c>
      <c r="C7" s="3" t="s">
        <v>85</v>
      </c>
      <c r="E7" t="s">
        <v>83</v>
      </c>
      <c r="F7">
        <f t="shared" si="0"/>
        <v>2.3031324630761098E-2</v>
      </c>
    </row>
    <row r="8" spans="1:6" x14ac:dyDescent="0.2">
      <c r="A8" t="s">
        <v>8</v>
      </c>
      <c r="B8" s="1">
        <v>0.1412557056</v>
      </c>
      <c r="E8" t="s">
        <v>84</v>
      </c>
      <c r="F8">
        <f t="shared" si="0"/>
        <v>0</v>
      </c>
    </row>
    <row r="9" spans="1:6" x14ac:dyDescent="0.2">
      <c r="A9" t="s">
        <v>9</v>
      </c>
      <c r="B9" s="1">
        <v>9.4066160692469758E-2</v>
      </c>
      <c r="E9" t="s">
        <v>85</v>
      </c>
      <c r="F9">
        <f t="shared" si="0"/>
        <v>0.39536489583430739</v>
      </c>
    </row>
    <row r="10" spans="1:6" x14ac:dyDescent="0.2">
      <c r="A10" t="s">
        <v>10</v>
      </c>
      <c r="B10" s="1">
        <v>7.3948079215223214E-2</v>
      </c>
      <c r="E10" t="s">
        <v>86</v>
      </c>
      <c r="F10">
        <f t="shared" si="0"/>
        <v>1.6041942E-2</v>
      </c>
    </row>
    <row r="11" spans="1:6" x14ac:dyDescent="0.2">
      <c r="A11" t="s">
        <v>11</v>
      </c>
      <c r="B11" s="1">
        <v>6.3241792646099998E-2</v>
      </c>
      <c r="E11" t="s">
        <v>87</v>
      </c>
      <c r="F11">
        <f t="shared" si="0"/>
        <v>2.3572148124002221E-5</v>
      </c>
    </row>
    <row r="12" spans="1:6" x14ac:dyDescent="0.2">
      <c r="A12" t="s">
        <v>12</v>
      </c>
      <c r="B12" s="1">
        <v>6.2578092976151245E-2</v>
      </c>
      <c r="C12" t="s">
        <v>82</v>
      </c>
      <c r="E12" t="s">
        <v>88</v>
      </c>
      <c r="F12">
        <f t="shared" si="0"/>
        <v>8.0837451159461731E-5</v>
      </c>
    </row>
    <row r="13" spans="1:6" x14ac:dyDescent="0.2">
      <c r="A13" t="s">
        <v>13</v>
      </c>
      <c r="B13" s="1">
        <v>4.1152901472E-2</v>
      </c>
      <c r="E13" t="s">
        <v>89</v>
      </c>
      <c r="F13">
        <f t="shared" si="0"/>
        <v>2.6975751575091569E-5</v>
      </c>
    </row>
    <row r="14" spans="1:6" x14ac:dyDescent="0.2">
      <c r="A14" t="s">
        <v>14</v>
      </c>
      <c r="B14" s="1">
        <v>4.0777904439980001E-2</v>
      </c>
      <c r="C14" t="s">
        <v>82</v>
      </c>
    </row>
    <row r="15" spans="1:6" x14ac:dyDescent="0.2">
      <c r="A15" t="s">
        <v>15</v>
      </c>
      <c r="B15" s="1">
        <v>3.1568671404E-2</v>
      </c>
      <c r="E15" s="3" t="s">
        <v>91</v>
      </c>
      <c r="F15">
        <f>SUM(F4:F13)</f>
        <v>1.2138861926617961</v>
      </c>
    </row>
    <row r="16" spans="1:6" x14ac:dyDescent="0.2">
      <c r="A16" t="s">
        <v>16</v>
      </c>
      <c r="B16" s="1">
        <v>2.3779058544E-2</v>
      </c>
    </row>
    <row r="17" spans="1:3" x14ac:dyDescent="0.2">
      <c r="A17" t="s">
        <v>17</v>
      </c>
      <c r="B17" s="1">
        <v>1.6041942E-2</v>
      </c>
      <c r="C17" t="s">
        <v>86</v>
      </c>
    </row>
    <row r="18" spans="1:3" x14ac:dyDescent="0.2">
      <c r="A18" t="s">
        <v>18</v>
      </c>
      <c r="B18" s="1">
        <v>1.5761521687824E-2</v>
      </c>
    </row>
    <row r="19" spans="1:3" x14ac:dyDescent="0.2">
      <c r="A19" t="s">
        <v>19</v>
      </c>
      <c r="B19" s="1">
        <v>1.260375658369004E-2</v>
      </c>
    </row>
    <row r="20" spans="1:3" x14ac:dyDescent="0.2">
      <c r="A20" t="s">
        <v>20</v>
      </c>
      <c r="B20" s="1">
        <v>1.1687083056000001E-2</v>
      </c>
    </row>
    <row r="21" spans="1:3" x14ac:dyDescent="0.2">
      <c r="A21" t="s">
        <v>21</v>
      </c>
      <c r="B21" s="1">
        <v>7.0566966720000002E-3</v>
      </c>
    </row>
    <row r="22" spans="1:3" x14ac:dyDescent="0.2">
      <c r="A22" t="s">
        <v>22</v>
      </c>
      <c r="B22" s="1">
        <v>6.77E-3</v>
      </c>
      <c r="C22" t="s">
        <v>83</v>
      </c>
    </row>
    <row r="23" spans="1:3" x14ac:dyDescent="0.2">
      <c r="A23" t="s">
        <v>23</v>
      </c>
      <c r="B23" s="1">
        <v>5.6066946768000003E-3</v>
      </c>
    </row>
    <row r="24" spans="1:3" x14ac:dyDescent="0.2">
      <c r="A24" t="s">
        <v>24</v>
      </c>
      <c r="B24" s="1">
        <v>5.5708395555524688E-3</v>
      </c>
    </row>
    <row r="25" spans="1:3" x14ac:dyDescent="0.2">
      <c r="A25" t="s">
        <v>25</v>
      </c>
      <c r="B25" s="1">
        <v>4.9617359427265202E-3</v>
      </c>
      <c r="C25" t="s">
        <v>83</v>
      </c>
    </row>
    <row r="26" spans="1:3" x14ac:dyDescent="0.2">
      <c r="A26" t="s">
        <v>26</v>
      </c>
      <c r="B26" s="1">
        <v>4.7278041119999999E-3</v>
      </c>
    </row>
    <row r="27" spans="1:3" x14ac:dyDescent="0.2">
      <c r="A27" t="s">
        <v>27</v>
      </c>
      <c r="B27" s="1">
        <v>4.6956702525871854E-3</v>
      </c>
      <c r="C27" t="s">
        <v>85</v>
      </c>
    </row>
    <row r="28" spans="1:3" x14ac:dyDescent="0.2">
      <c r="A28" t="s">
        <v>28</v>
      </c>
      <c r="B28" s="1">
        <v>4.0318547611031992E-3</v>
      </c>
      <c r="C28" t="s">
        <v>83</v>
      </c>
    </row>
    <row r="29" spans="1:3" x14ac:dyDescent="0.2">
      <c r="A29" t="s">
        <v>29</v>
      </c>
      <c r="B29" s="1">
        <v>3.6692255817202361E-3</v>
      </c>
      <c r="C29" t="s">
        <v>85</v>
      </c>
    </row>
    <row r="30" spans="1:3" x14ac:dyDescent="0.2">
      <c r="A30" t="s">
        <v>30</v>
      </c>
      <c r="B30" s="1">
        <v>2.4647593169099132E-3</v>
      </c>
      <c r="C30" t="s">
        <v>83</v>
      </c>
    </row>
    <row r="31" spans="1:3" x14ac:dyDescent="0.2">
      <c r="A31" t="s">
        <v>31</v>
      </c>
      <c r="B31" s="1">
        <v>2.3724261072000001E-3</v>
      </c>
    </row>
    <row r="32" spans="1:3" x14ac:dyDescent="0.2">
      <c r="A32" t="s">
        <v>32</v>
      </c>
      <c r="B32" s="1">
        <v>2.2748398080000001E-3</v>
      </c>
      <c r="C32" t="s">
        <v>83</v>
      </c>
    </row>
    <row r="33" spans="1:3" x14ac:dyDescent="0.2">
      <c r="A33" t="s">
        <v>33</v>
      </c>
      <c r="B33" s="1">
        <v>1.9535298768000001E-3</v>
      </c>
    </row>
    <row r="34" spans="1:3" x14ac:dyDescent="0.2">
      <c r="A34" t="s">
        <v>34</v>
      </c>
      <c r="B34" s="1">
        <v>1.942265952E-3</v>
      </c>
    </row>
    <row r="35" spans="1:3" x14ac:dyDescent="0.2">
      <c r="A35" t="s">
        <v>35</v>
      </c>
      <c r="B35" s="1">
        <v>1.8802211060981869E-3</v>
      </c>
    </row>
    <row r="36" spans="1:3" x14ac:dyDescent="0.2">
      <c r="A36" t="s">
        <v>36</v>
      </c>
      <c r="B36" s="1">
        <v>1.723322806815996E-3</v>
      </c>
    </row>
    <row r="37" spans="1:3" x14ac:dyDescent="0.2">
      <c r="A37" t="s">
        <v>37</v>
      </c>
      <c r="B37" s="1">
        <v>1.35471528E-3</v>
      </c>
    </row>
    <row r="38" spans="1:3" x14ac:dyDescent="0.2">
      <c r="A38" t="s">
        <v>38</v>
      </c>
      <c r="B38" s="1">
        <v>1.330665211866739E-3</v>
      </c>
    </row>
    <row r="39" spans="1:3" x14ac:dyDescent="0.2">
      <c r="A39" t="s">
        <v>39</v>
      </c>
      <c r="B39" s="1">
        <v>1.1567655445340001E-3</v>
      </c>
      <c r="C39" t="s">
        <v>83</v>
      </c>
    </row>
    <row r="40" spans="1:3" x14ac:dyDescent="0.2">
      <c r="A40" t="s">
        <v>40</v>
      </c>
      <c r="B40" s="1">
        <v>8.7833182927226576E-4</v>
      </c>
    </row>
    <row r="41" spans="1:3" x14ac:dyDescent="0.2">
      <c r="A41" t="s">
        <v>41</v>
      </c>
      <c r="B41" s="1">
        <v>6.2E-4</v>
      </c>
      <c r="C41" t="s">
        <v>83</v>
      </c>
    </row>
    <row r="42" spans="1:3" x14ac:dyDescent="0.2">
      <c r="A42" t="s">
        <v>42</v>
      </c>
      <c r="B42" s="1">
        <v>4.700552751815319E-4</v>
      </c>
    </row>
    <row r="43" spans="1:3" x14ac:dyDescent="0.2">
      <c r="A43" t="s">
        <v>43</v>
      </c>
      <c r="B43" s="1">
        <v>4.700552751815319E-4</v>
      </c>
    </row>
    <row r="44" spans="1:3" x14ac:dyDescent="0.2">
      <c r="A44" t="s">
        <v>44</v>
      </c>
      <c r="B44" s="1">
        <v>4.313778768E-4</v>
      </c>
    </row>
    <row r="45" spans="1:3" x14ac:dyDescent="0.2">
      <c r="A45" t="s">
        <v>45</v>
      </c>
      <c r="B45" s="1">
        <v>4.2224496479999999E-4</v>
      </c>
    </row>
    <row r="46" spans="1:3" x14ac:dyDescent="0.2">
      <c r="A46" t="s">
        <v>46</v>
      </c>
      <c r="B46" s="1">
        <v>3.8673418031707877E-4</v>
      </c>
      <c r="C46" t="s">
        <v>82</v>
      </c>
    </row>
    <row r="47" spans="1:3" x14ac:dyDescent="0.2">
      <c r="A47" t="s">
        <v>47</v>
      </c>
      <c r="B47" s="1">
        <v>2.7907134768000001E-4</v>
      </c>
    </row>
    <row r="48" spans="1:3" x14ac:dyDescent="0.2">
      <c r="A48" t="s">
        <v>48</v>
      </c>
      <c r="B48" s="1">
        <v>2.5902057588259681E-4</v>
      </c>
      <c r="C48" t="s">
        <v>83</v>
      </c>
    </row>
    <row r="49" spans="1:3" x14ac:dyDescent="0.2">
      <c r="A49" t="s">
        <v>49</v>
      </c>
      <c r="B49" s="1">
        <v>2.368925102125173E-4</v>
      </c>
    </row>
    <row r="50" spans="1:3" x14ac:dyDescent="0.2">
      <c r="A50" t="s">
        <v>50</v>
      </c>
      <c r="B50" s="1">
        <v>2.0145225691652741E-4</v>
      </c>
    </row>
    <row r="51" spans="1:3" x14ac:dyDescent="0.2">
      <c r="A51" t="s">
        <v>51</v>
      </c>
      <c r="B51" s="1">
        <v>1.9539588887757491E-4</v>
      </c>
      <c r="C51" t="s">
        <v>83</v>
      </c>
    </row>
    <row r="52" spans="1:3" x14ac:dyDescent="0.2">
      <c r="A52" t="s">
        <v>52</v>
      </c>
      <c r="B52" s="1">
        <v>1.8799999999999999E-4</v>
      </c>
      <c r="C52" t="s">
        <v>83</v>
      </c>
    </row>
    <row r="53" spans="1:3" x14ac:dyDescent="0.2">
      <c r="A53" t="s">
        <v>53</v>
      </c>
      <c r="B53" s="1">
        <v>1.3933779408000001E-4</v>
      </c>
    </row>
    <row r="54" spans="1:3" x14ac:dyDescent="0.2">
      <c r="A54" t="s">
        <v>54</v>
      </c>
      <c r="B54" s="1">
        <v>1.1163462768E-4</v>
      </c>
    </row>
    <row r="55" spans="1:3" x14ac:dyDescent="0.2">
      <c r="A55" t="s">
        <v>55</v>
      </c>
      <c r="B55" s="1">
        <v>8.3322600480000006E-5</v>
      </c>
    </row>
    <row r="56" spans="1:3" x14ac:dyDescent="0.2">
      <c r="A56" t="s">
        <v>56</v>
      </c>
      <c r="B56" s="1">
        <v>7.8664815359999994E-5</v>
      </c>
    </row>
    <row r="57" spans="1:3" x14ac:dyDescent="0.2">
      <c r="A57" t="s">
        <v>57</v>
      </c>
      <c r="B57" s="1">
        <v>6.6518042400000004E-5</v>
      </c>
    </row>
    <row r="58" spans="1:3" x14ac:dyDescent="0.2">
      <c r="A58" t="s">
        <v>58</v>
      </c>
      <c r="B58" s="1">
        <v>6.0365451159461727E-5</v>
      </c>
      <c r="C58" t="s">
        <v>88</v>
      </c>
    </row>
    <row r="59" spans="1:3" x14ac:dyDescent="0.2">
      <c r="A59" t="s">
        <v>59</v>
      </c>
      <c r="B59" s="1">
        <v>4.9294989106999999E-5</v>
      </c>
      <c r="C59" t="s">
        <v>83</v>
      </c>
    </row>
    <row r="60" spans="1:3" x14ac:dyDescent="0.2">
      <c r="A60" t="s">
        <v>60</v>
      </c>
      <c r="B60" s="1">
        <v>3.5517894768000001E-5</v>
      </c>
    </row>
    <row r="61" spans="1:3" x14ac:dyDescent="0.2">
      <c r="A61" t="s">
        <v>61</v>
      </c>
      <c r="B61" s="1">
        <v>3.1569432480000002E-5</v>
      </c>
    </row>
    <row r="62" spans="1:3" x14ac:dyDescent="0.2">
      <c r="A62" t="s">
        <v>62</v>
      </c>
      <c r="B62" s="1">
        <v>2.6975751575091569E-5</v>
      </c>
      <c r="C62" t="s">
        <v>89</v>
      </c>
    </row>
    <row r="63" spans="1:3" x14ac:dyDescent="0.2">
      <c r="A63" t="s">
        <v>63</v>
      </c>
      <c r="B63" s="1">
        <v>2.472724966105942E-5</v>
      </c>
      <c r="C63" t="s">
        <v>83</v>
      </c>
    </row>
    <row r="64" spans="1:3" x14ac:dyDescent="0.2">
      <c r="A64" t="s">
        <v>64</v>
      </c>
      <c r="B64" s="1">
        <v>2.3572148124002221E-5</v>
      </c>
      <c r="C64" t="s">
        <v>87</v>
      </c>
    </row>
    <row r="65" spans="1:3" x14ac:dyDescent="0.2">
      <c r="A65" t="s">
        <v>65</v>
      </c>
      <c r="B65" s="1">
        <v>2.1155975287755429E-5</v>
      </c>
      <c r="C65" t="s">
        <v>83</v>
      </c>
    </row>
    <row r="66" spans="1:3" x14ac:dyDescent="0.2">
      <c r="A66" t="s">
        <v>66</v>
      </c>
      <c r="B66" s="1">
        <v>2.0472E-5</v>
      </c>
      <c r="C66" t="s">
        <v>88</v>
      </c>
    </row>
    <row r="67" spans="1:3" x14ac:dyDescent="0.2">
      <c r="A67" t="s">
        <v>67</v>
      </c>
      <c r="B67" s="1">
        <v>5.3206413890358071E-6</v>
      </c>
      <c r="C67" t="s">
        <v>83</v>
      </c>
    </row>
    <row r="68" spans="1:3" x14ac:dyDescent="0.2">
      <c r="A68" t="s">
        <v>68</v>
      </c>
      <c r="B68" s="1">
        <v>4.4793672161172162E-6</v>
      </c>
      <c r="C68" t="s">
        <v>83</v>
      </c>
    </row>
    <row r="69" spans="1:3" x14ac:dyDescent="0.2">
      <c r="A69" t="s">
        <v>69</v>
      </c>
      <c r="B69" s="1">
        <v>3.8128486692708328E-6</v>
      </c>
      <c r="C69" s="3" t="s">
        <v>80</v>
      </c>
    </row>
    <row r="70" spans="1:3" x14ac:dyDescent="0.2">
      <c r="A70" t="s">
        <v>70</v>
      </c>
      <c r="B70" s="1">
        <v>3.315570066333333E-6</v>
      </c>
      <c r="C70" t="s">
        <v>83</v>
      </c>
    </row>
    <row r="71" spans="1:3" x14ac:dyDescent="0.2">
      <c r="A71" t="s">
        <v>71</v>
      </c>
      <c r="B71" s="1">
        <v>3.2899999999999998E-6</v>
      </c>
    </row>
    <row r="72" spans="1:3" x14ac:dyDescent="0.2">
      <c r="A72" t="s">
        <v>72</v>
      </c>
      <c r="B72" s="1">
        <v>1.9148667481106409E-6</v>
      </c>
    </row>
    <row r="73" spans="1:3" x14ac:dyDescent="0.2">
      <c r="A73" t="s">
        <v>73</v>
      </c>
      <c r="B73" s="1">
        <v>1.567681593406593E-6</v>
      </c>
      <c r="C73" t="s">
        <v>81</v>
      </c>
    </row>
    <row r="74" spans="1:3" x14ac:dyDescent="0.2">
      <c r="A74" t="s">
        <v>74</v>
      </c>
      <c r="B74" s="1">
        <v>4.39E-7</v>
      </c>
      <c r="C74" t="s">
        <v>83</v>
      </c>
    </row>
    <row r="75" spans="1:3" x14ac:dyDescent="0.2">
      <c r="A75" t="s">
        <v>75</v>
      </c>
      <c r="B75" s="1">
        <v>3.296495037495234E-7</v>
      </c>
    </row>
    <row r="76" spans="1:3" x14ac:dyDescent="0.2">
      <c r="A76" t="s">
        <v>76</v>
      </c>
      <c r="B76" s="1">
        <v>2.2000000000000001E-7</v>
      </c>
      <c r="C76" t="s">
        <v>83</v>
      </c>
    </row>
    <row r="77" spans="1:3" x14ac:dyDescent="0.2">
      <c r="A77" t="s">
        <v>77</v>
      </c>
      <c r="B77" s="1">
        <v>8.6999999999999998E-8</v>
      </c>
    </row>
    <row r="78" spans="1:3" x14ac:dyDescent="0.2">
      <c r="A78" t="s">
        <v>78</v>
      </c>
      <c r="B78" s="1">
        <v>2.8619047619047619E-8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Etienne Lees-Perasso</cp:lastModifiedBy>
  <dcterms:created xsi:type="dcterms:W3CDTF">2025-08-06T12:52:05Z</dcterms:created>
  <dcterms:modified xsi:type="dcterms:W3CDTF">2025-08-06T13:05:08Z</dcterms:modified>
</cp:coreProperties>
</file>