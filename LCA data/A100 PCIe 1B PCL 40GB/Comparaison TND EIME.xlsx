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" sheetId="1" r:id="rId4"/>
    <sheet state="visible" name="PCB, composants, Main DI" sheetId="2" r:id="rId5"/>
  </sheets>
  <definedNames/>
  <calcPr/>
  <extLst>
    <ext uri="GoogleSheetsCustomDataVersion2">
      <go:sheetsCustomData xmlns:go="http://customooxmlschemas.google.com/" r:id="rId6" roundtripDataChecksum="M5WuMbtmc+ngjG9JGJOoNUTX9QeDuFjmLHbcsv0pTbI="/>
    </ext>
  </extLst>
</workbook>
</file>

<file path=xl/sharedStrings.xml><?xml version="1.0" encoding="utf-8"?>
<sst xmlns="http://schemas.openxmlformats.org/spreadsheetml/2006/main" count="76" uniqueCount="67">
  <si>
    <t xml:space="preserve">Aloo 1 : Cooler with copper foils ; m= 1346.5g </t>
  </si>
  <si>
    <t>Aloo 2 : electronic card ; m = 219.4g</t>
  </si>
  <si>
    <t>Pop : motherboard chip : m = 13.9g</t>
  </si>
  <si>
    <t>Main DI : CPU without metal coating ; m = 22.1g</t>
  </si>
  <si>
    <t>PCB, composants, Main Di : electronic card + metal coating CPU ; m = 109.8g</t>
  </si>
  <si>
    <t xml:space="preserve">The following hypotheses have been made: </t>
  </si>
  <si>
    <t>- By default: plastic 5% losses, metal 30% losses, precious metal 0%, other 5%. Electronic components: taken into account in the dataset. Silicon chip: see specific documentation in each line</t>
  </si>
  <si>
    <t>Add elementary flows for missing materials</t>
  </si>
  <si>
    <t>Element</t>
  </si>
  <si>
    <t>Concentration (%wt)</t>
  </si>
  <si>
    <t>2σ (%wt)</t>
  </si>
  <si>
    <t>Concentration (g.T-1)</t>
  </si>
  <si>
    <t>Detected but which are at the limit of quantification on the equipment</t>
  </si>
  <si>
    <t>Mass within the product (g)</t>
  </si>
  <si>
    <t>Losses (%)</t>
  </si>
  <si>
    <t>Mass in EIME (g)</t>
  </si>
  <si>
    <t>Difference (g)</t>
  </si>
  <si>
    <t>Comment</t>
  </si>
  <si>
    <t>Ag</t>
  </si>
  <si>
    <t>Al</t>
  </si>
  <si>
    <t>As</t>
  </si>
  <si>
    <t>x</t>
  </si>
  <si>
    <t xml:space="preserve">
Elementary flow / Resources / Resources from ground / Non-renewable element resources from ground / Arsenic</t>
  </si>
  <si>
    <t>Au</t>
  </si>
  <si>
    <t>B</t>
  </si>
  <si>
    <t>Elementary flow / Resources / Resources from ground / Non-renewable element resources from ground / Boron</t>
  </si>
  <si>
    <t>Ba</t>
  </si>
  <si>
    <t>Be</t>
  </si>
  <si>
    <t>Elementary flow / Resources / Resources from ground / Non-renewable element resources from ground / Beryllium</t>
  </si>
  <si>
    <t>Bi</t>
  </si>
  <si>
    <t>Elementary flow / Resources / Resources from ground / Non-renewable element resources from ground / Bismuth</t>
  </si>
  <si>
    <t>Ca</t>
  </si>
  <si>
    <t>Cd</t>
  </si>
  <si>
    <t>Co</t>
  </si>
  <si>
    <t>Elementary flow / Resources / Resources from ground / Non-renewable element resources from ground / Cobalt</t>
  </si>
  <si>
    <t>Cr</t>
  </si>
  <si>
    <t>Cu</t>
  </si>
  <si>
    <t>Fe</t>
  </si>
  <si>
    <t>K</t>
  </si>
  <si>
    <t>Li</t>
  </si>
  <si>
    <t>Mg</t>
  </si>
  <si>
    <t>Mn</t>
  </si>
  <si>
    <t>Na</t>
  </si>
  <si>
    <t>Elementary flow / Resources / Resources from ground / Non-renewable element resources from ground / Sodium</t>
  </si>
  <si>
    <t>Ni</t>
  </si>
  <si>
    <t>Pb</t>
  </si>
  <si>
    <t>Pd</t>
  </si>
  <si>
    <t>Elementary flow / Resources / Resources from ground / Non-renewable element resources from ground / Palladium</t>
  </si>
  <si>
    <t>Pt</t>
  </si>
  <si>
    <t>Elementary flow / Resources / Resources from ground / Non-renewable element resources from ground / Platinum</t>
  </si>
  <si>
    <t>Sb</t>
  </si>
  <si>
    <t>Se</t>
  </si>
  <si>
    <t>Elementary flow / Resources / Resources from ground / Non-renewable element resources from ground / Selenium</t>
  </si>
  <si>
    <t>Si</t>
  </si>
  <si>
    <t>N/A (die)</t>
  </si>
  <si>
    <t>Not assessed - die</t>
  </si>
  <si>
    <t>Sn</t>
  </si>
  <si>
    <t>Ti</t>
  </si>
  <si>
    <t>Tl</t>
  </si>
  <si>
    <t>Elementary flow / Resources / Resources from ground / Non-renewable element resources from ground / Thallium</t>
  </si>
  <si>
    <t>V</t>
  </si>
  <si>
    <t>Elementary flow / Resources / Resources from ground / Non-renewable element resources from ground / Vanadium</t>
  </si>
  <si>
    <t>Zn</t>
  </si>
  <si>
    <t>Indissous</t>
  </si>
  <si>
    <t>Pertes à la pyrolyse</t>
  </si>
  <si>
    <t>Polymères et oxygène</t>
  </si>
  <si>
    <t>Masse totale (g)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</si>
</sst>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Lexend"/>
    </font>
    <font>
      <sz val="11.0"/>
      <color theme="1"/>
      <name val="Lexend"/>
    </font>
  </fonts>
  <fills count="4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theme="5"/>
        <bgColor theme="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Font="1"/>
    <xf quotePrefix="1" borderId="0" fillId="0" fontId="1" numFmtId="0" xfId="0" applyFont="1"/>
    <xf borderId="0" fillId="0" fontId="3" numFmtId="0" xfId="0" applyFont="1"/>
    <xf borderId="0" fillId="0" fontId="3" numFmtId="0" xfId="0" applyFont="1"/>
    <xf borderId="0" fillId="0" fontId="4" numFmtId="11" xfId="0" applyFont="1" applyNumberFormat="1"/>
    <xf borderId="1" fillId="2" fontId="4" numFmtId="11" xfId="0" applyBorder="1" applyFill="1" applyFont="1" applyNumberFormat="1"/>
    <xf borderId="1" fillId="3" fontId="4" numFmtId="11" xfId="0" applyBorder="1" applyFill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PCB, composants, Main DI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Concentration (%wt) - Nvidia A100 PCIe 40GB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'PCB, composants, Main DI'!$B$1</c:f>
            </c:strRef>
          </c:tx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4472C4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8CB9E2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7C9CD6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Pt>
            <c:idx val="12"/>
            <c:spPr>
              <a:solidFill>
                <a:schemeClr val="accent4"/>
              </a:solidFill>
            </c:spPr>
          </c:dPt>
          <c:dPt>
            <c:idx val="13"/>
            <c:spPr>
              <a:solidFill>
                <a:srgbClr val="B7B7B7"/>
              </a:solidFill>
            </c:spPr>
          </c:dPt>
          <c:dPt>
            <c:idx val="14"/>
            <c:spPr>
              <a:solidFill>
                <a:srgbClr val="DBDBDB"/>
              </a:solidFill>
            </c:spPr>
          </c:dPt>
          <c:dPt>
            <c:idx val="15"/>
            <c:spPr>
              <a:solidFill>
                <a:srgbClr val="FFE699"/>
              </a:solidFill>
            </c:spPr>
          </c:dPt>
          <c:dPt>
            <c:idx val="16"/>
            <c:spPr>
              <a:solidFill>
                <a:srgbClr val="B4C7E7"/>
              </a:solidFill>
            </c:spPr>
          </c:dPt>
          <c:dPt>
            <c:idx val="17"/>
            <c:spPr>
              <a:solidFill>
                <a:srgbClr val="C6DEB5"/>
              </a:solidFill>
            </c:spPr>
          </c:dPt>
          <c:dPt>
            <c:idx val="18"/>
            <c:spPr>
              <a:solidFill>
                <a:srgbClr val="EFF5FB"/>
              </a:solidFill>
            </c:spPr>
          </c:dPt>
          <c:dPt>
            <c:idx val="19"/>
            <c:spPr>
              <a:solidFill>
                <a:srgbClr val="FDF2EA"/>
              </a:solidFill>
            </c:spPr>
          </c:dPt>
          <c:dPt>
            <c:idx val="20"/>
            <c:spPr>
              <a:solidFill>
                <a:srgbClr val="F6F6F6"/>
              </a:solidFill>
            </c:spPr>
          </c:dPt>
          <c:dPt>
            <c:idx val="21"/>
            <c:spPr>
              <a:solidFill>
                <a:srgbClr val="FFF9E6"/>
              </a:solidFill>
            </c:spPr>
          </c:dPt>
          <c:dPt>
            <c:idx val="22"/>
            <c:spPr>
              <a:solidFill>
                <a:srgbClr val="ECF1F9"/>
              </a:solidFill>
            </c:spPr>
          </c:dPt>
          <c:dPt>
            <c:idx val="23"/>
            <c:spPr>
              <a:solidFill>
                <a:srgbClr val="F1F7ED"/>
              </a:solidFill>
            </c:spPr>
          </c:dPt>
          <c:dPt>
            <c:idx val="24"/>
            <c:spPr>
              <a:solidFill>
                <a:srgbClr val="201307"/>
              </a:solidFill>
            </c:spPr>
          </c:dPt>
          <c:dPt>
            <c:idx val="25"/>
            <c:spPr>
              <a:solidFill>
                <a:srgbClr val="031928"/>
              </a:solidFill>
            </c:spPr>
          </c:dPt>
          <c:dPt>
            <c:idx val="26"/>
            <c:spPr>
              <a:solidFill>
                <a:srgbClr val="111111"/>
              </a:solidFill>
            </c:spPr>
          </c:dPt>
          <c:dPt>
            <c:idx val="27"/>
            <c:spPr>
              <a:solidFill>
                <a:srgbClr val="FF0C32"/>
              </a:solidFill>
            </c:spPr>
          </c:dPt>
          <c:dPt>
            <c:idx val="28"/>
            <c:spPr>
              <a:solidFill>
                <a:srgbClr val="241B0B"/>
              </a:solidFill>
            </c:spPr>
          </c:dPt>
          <c:dPt>
            <c:idx val="29"/>
            <c:spPr>
              <a:solidFill>
                <a:srgbClr val="1C0F24"/>
              </a:solidFill>
            </c:spPr>
          </c:dPt>
          <c:dPt>
            <c:idx val="30"/>
            <c:spPr>
              <a:solidFill>
                <a:srgbClr val="513114"/>
              </a:solidFill>
            </c:spPr>
          </c:dPt>
          <c:dPt>
            <c:idx val="31"/>
            <c:spPr>
              <a:solidFill>
                <a:srgbClr val="084066"/>
              </a:solidFill>
            </c:spPr>
          </c:dPt>
          <c:dPt>
            <c:idx val="32"/>
            <c:spPr>
              <a:solidFill>
                <a:srgbClr val="2C2C2C"/>
              </a:solidFill>
            </c:spPr>
          </c:dPt>
          <c:dPt>
            <c:idx val="33"/>
            <c:spPr>
              <a:solidFill>
                <a:srgbClr val="FF1F7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'PCB, composants, Main DI'!$A$2:$A$35</c:f>
            </c:strRef>
          </c:cat>
          <c:val>
            <c:numRef>
              <c:f>'PCB, composants, Main DI'!$B$2:$B$35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1066800</xdr:colOff>
      <xdr:row>40</xdr:row>
      <xdr:rowOff>38100</xdr:rowOff>
    </xdr:from>
    <xdr:ext cx="5715000" cy="3533775"/>
    <xdr:graphicFrame>
      <xdr:nvGraphicFramePr>
        <xdr:cNvPr id="1735636345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J35" displayName="Table_1" name="Table_1" id="1">
  <tableColumns count="10">
    <tableColumn name="Element" id="1"/>
    <tableColumn name="Concentration (%wt)" id="2"/>
    <tableColumn name="2σ (%wt)" id="3"/>
    <tableColumn name="Concentration (g.T-1)" id="4"/>
    <tableColumn name="Detected but which are at the limit of quantification on the equipment" id="5"/>
    <tableColumn name="Mass within the product (g)" id="6"/>
    <tableColumn name="Losses (%)" id="7"/>
    <tableColumn name="Mass in EIME (g)" id="8"/>
    <tableColumn name="Difference (g)" id="9"/>
    <tableColumn name="Comment" id="10"/>
  </tableColumns>
  <tableStyleInfo name="PCB, composants, Main D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1" t="s">
        <v>4</v>
      </c>
    </row>
    <row r="6" ht="14.25" customHeight="1"/>
    <row r="7" ht="14.25" customHeight="1"/>
    <row r="8" ht="14.25" customHeight="1"/>
    <row r="9" ht="14.25" customHeight="1">
      <c r="A9" s="2" t="s">
        <v>5</v>
      </c>
    </row>
    <row r="10" ht="14.25" customHeight="1">
      <c r="A10" s="3" t="s">
        <v>6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>
      <c r="B18" s="2" t="s">
        <v>7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29"/>
    <col customWidth="1" min="2" max="2" width="14.86"/>
    <col customWidth="1" min="3" max="3" width="10.71"/>
    <col customWidth="1" min="4" max="4" width="15.29"/>
    <col customWidth="1" min="5" max="5" width="65.14"/>
    <col customWidth="1" min="6" max="6" width="25.14"/>
    <col customWidth="1" min="7" max="7" width="12.14"/>
    <col customWidth="1" min="8" max="8" width="17.29"/>
    <col customWidth="1" min="9" max="9" width="15.14"/>
    <col customWidth="1" min="10" max="26" width="10.71"/>
  </cols>
  <sheetData>
    <row r="1" ht="14.25" customHeight="1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4" t="s">
        <v>18</v>
      </c>
      <c r="B2" s="4">
        <v>0.07</v>
      </c>
      <c r="C2" s="4">
        <v>0.02</v>
      </c>
      <c r="D2" s="4">
        <v>733.0</v>
      </c>
      <c r="E2" s="4"/>
      <c r="F2" s="6">
        <f>'PCB, composants, Main DI'!$D2/1000000*$B$39</f>
        <v>0.0804834</v>
      </c>
      <c r="G2" s="4">
        <v>0.0</v>
      </c>
      <c r="H2" s="6">
        <v>0.129</v>
      </c>
      <c r="I2" s="7">
        <f>'PCB, composants, Main DI'!$F2-'PCB, composants, Main DI'!$H2</f>
        <v>-0.0485166</v>
      </c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4" t="s">
        <v>19</v>
      </c>
      <c r="B3" s="4">
        <v>1.36</v>
      </c>
      <c r="C3" s="4">
        <v>0.02</v>
      </c>
      <c r="D3" s="4">
        <v>13626.0</v>
      </c>
      <c r="E3" s="4"/>
      <c r="F3" s="6">
        <f>'PCB, composants, Main DI'!$D3/1000000*$B$39</f>
        <v>1.4961348</v>
      </c>
      <c r="G3" s="4">
        <v>30.0</v>
      </c>
      <c r="H3" s="6">
        <v>7.3</v>
      </c>
      <c r="I3" s="7">
        <f>'PCB, composants, Main DI'!$F3-'PCB, composants, Main DI'!$H3</f>
        <v>-5.8038652</v>
      </c>
      <c r="J3" s="6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4" t="s">
        <v>20</v>
      </c>
      <c r="B4" s="4">
        <v>0.0</v>
      </c>
      <c r="C4" s="4">
        <v>0.0</v>
      </c>
      <c r="D4" s="4">
        <v>28.0</v>
      </c>
      <c r="E4" s="4" t="s">
        <v>21</v>
      </c>
      <c r="F4" s="6">
        <f>'PCB, composants, Main DI'!$D4/1000000*$B$39</f>
        <v>0.0030744</v>
      </c>
      <c r="G4" s="4">
        <v>5.0</v>
      </c>
      <c r="H4" s="6">
        <v>0.0</v>
      </c>
      <c r="I4" s="8">
        <f>'PCB, composants, Main DI'!$F4-'PCB, composants, Main DI'!$H4</f>
        <v>0.0030744</v>
      </c>
      <c r="J4" s="6" t="s">
        <v>22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4" t="s">
        <v>23</v>
      </c>
      <c r="B5" s="4">
        <v>0.02</v>
      </c>
      <c r="C5" s="4">
        <v>0.0</v>
      </c>
      <c r="D5" s="4">
        <v>246.0</v>
      </c>
      <c r="E5" s="4"/>
      <c r="F5" s="6">
        <f>'PCB, composants, Main DI'!$D5/1000000*$B$39</f>
        <v>0.0270108</v>
      </c>
      <c r="G5" s="4">
        <v>0.0</v>
      </c>
      <c r="H5" s="6">
        <v>0.0237</v>
      </c>
      <c r="I5" s="7">
        <f>'PCB, composants, Main DI'!$F5-'PCB, composants, Main DI'!$H5</f>
        <v>0.0033108</v>
      </c>
      <c r="J5" s="6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4" t="s">
        <v>24</v>
      </c>
      <c r="B6" s="4">
        <v>0.23</v>
      </c>
      <c r="C6" s="4">
        <v>0.0</v>
      </c>
      <c r="D6" s="4">
        <v>2286.0</v>
      </c>
      <c r="E6" s="4"/>
      <c r="F6" s="6">
        <f>'PCB, composants, Main DI'!$D6/1000000*$B$39</f>
        <v>0.2510028</v>
      </c>
      <c r="G6" s="4">
        <v>5.0</v>
      </c>
      <c r="H6" s="6">
        <v>0.0</v>
      </c>
      <c r="I6" s="8">
        <f>'PCB, composants, Main DI'!$F6-'PCB, composants, Main DI'!$H6</f>
        <v>0.2510028</v>
      </c>
      <c r="J6" s="6" t="s">
        <v>25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4" t="s">
        <v>26</v>
      </c>
      <c r="B7" s="4">
        <v>3.67</v>
      </c>
      <c r="C7" s="4">
        <v>0.02</v>
      </c>
      <c r="D7" s="4">
        <v>36747.0</v>
      </c>
      <c r="E7" s="4"/>
      <c r="F7" s="6">
        <f>'PCB, composants, Main DI'!$D7/1000000*$B$39</f>
        <v>4.0348206</v>
      </c>
      <c r="G7" s="4">
        <v>5.0</v>
      </c>
      <c r="H7" s="6">
        <v>0.432</v>
      </c>
      <c r="I7" s="7">
        <f>'PCB, composants, Main DI'!$F7-'PCB, composants, Main DI'!$H7</f>
        <v>3.6028206</v>
      </c>
      <c r="J7" s="6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4" t="s">
        <v>27</v>
      </c>
      <c r="B8" s="4">
        <v>0.0</v>
      </c>
      <c r="C8" s="4">
        <v>0.0</v>
      </c>
      <c r="D8" s="4">
        <v>1.0</v>
      </c>
      <c r="E8" s="4" t="s">
        <v>21</v>
      </c>
      <c r="F8" s="6">
        <f>'PCB, composants, Main DI'!$D8/1000000*$B$39</f>
        <v>0.0001098</v>
      </c>
      <c r="G8" s="4">
        <v>5.0</v>
      </c>
      <c r="H8" s="6">
        <v>0.0</v>
      </c>
      <c r="I8" s="8">
        <f>'PCB, composants, Main DI'!$F8-'PCB, composants, Main DI'!$H8</f>
        <v>0.0001098</v>
      </c>
      <c r="J8" s="6" t="s">
        <v>28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4" t="s">
        <v>29</v>
      </c>
      <c r="B9" s="4">
        <v>0.12</v>
      </c>
      <c r="C9" s="4">
        <v>0.01</v>
      </c>
      <c r="D9" s="4">
        <v>1185.0</v>
      </c>
      <c r="E9" s="4"/>
      <c r="F9" s="6">
        <f>'PCB, composants, Main DI'!$D9/1000000*$B$39</f>
        <v>0.130113</v>
      </c>
      <c r="G9" s="4">
        <v>5.0</v>
      </c>
      <c r="H9" s="6">
        <v>0.0</v>
      </c>
      <c r="I9" s="8">
        <f>'PCB, composants, Main DI'!$F9-'PCB, composants, Main DI'!$H9</f>
        <v>0.130113</v>
      </c>
      <c r="J9" s="6" t="s">
        <v>30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4" t="s">
        <v>31</v>
      </c>
      <c r="B10" s="4">
        <v>2.22</v>
      </c>
      <c r="C10" s="4">
        <v>0.1</v>
      </c>
      <c r="D10" s="4">
        <v>22165.0</v>
      </c>
      <c r="E10" s="4"/>
      <c r="F10" s="6">
        <f>'PCB, composants, Main DI'!$D10/1000000*$B$39</f>
        <v>2.433717</v>
      </c>
      <c r="G10" s="4">
        <v>5.0</v>
      </c>
      <c r="H10" s="6">
        <v>0.0</v>
      </c>
      <c r="I10" s="7">
        <f>'PCB, composants, Main DI'!$F10-'PCB, composants, Main DI'!$H10</f>
        <v>2.433717</v>
      </c>
      <c r="J10" s="6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4" t="s">
        <v>32</v>
      </c>
      <c r="B11" s="4">
        <v>0.0</v>
      </c>
      <c r="C11" s="4">
        <v>0.0</v>
      </c>
      <c r="D11" s="4">
        <v>2.0</v>
      </c>
      <c r="E11" s="4" t="s">
        <v>21</v>
      </c>
      <c r="F11" s="6">
        <f>'PCB, composants, Main DI'!$D11/1000000*$B$39</f>
        <v>0.0002196</v>
      </c>
      <c r="G11" s="4">
        <v>0.0</v>
      </c>
      <c r="H11" s="6">
        <v>0.0</v>
      </c>
      <c r="I11" s="7">
        <f>'PCB, composants, Main DI'!$F11-'PCB, composants, Main DI'!$H11</f>
        <v>0.0002196</v>
      </c>
      <c r="J11" s="6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4" t="s">
        <v>33</v>
      </c>
      <c r="B12" s="4">
        <v>0.02</v>
      </c>
      <c r="C12" s="4">
        <v>0.0</v>
      </c>
      <c r="D12" s="4">
        <v>246.0</v>
      </c>
      <c r="E12" s="4"/>
      <c r="F12" s="6">
        <f>'PCB, composants, Main DI'!$D12/1000000*$B$39</f>
        <v>0.0270108</v>
      </c>
      <c r="G12" s="4">
        <v>5.0</v>
      </c>
      <c r="H12" s="6">
        <v>0.0</v>
      </c>
      <c r="I12" s="8">
        <f>'PCB, composants, Main DI'!$F12-'PCB, composants, Main DI'!$H12</f>
        <v>0.0270108</v>
      </c>
      <c r="J12" s="6" t="s">
        <v>34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4" t="s">
        <v>35</v>
      </c>
      <c r="B13" s="4">
        <v>0.02</v>
      </c>
      <c r="C13" s="4">
        <v>0.0</v>
      </c>
      <c r="D13" s="4">
        <v>193.0</v>
      </c>
      <c r="E13" s="4"/>
      <c r="F13" s="6">
        <f>'PCB, composants, Main DI'!$D13/1000000*$B$39</f>
        <v>0.0211914</v>
      </c>
      <c r="G13" s="4">
        <v>0.0</v>
      </c>
      <c r="H13" s="6">
        <v>4.56E-4</v>
      </c>
      <c r="I13" s="7">
        <f>'PCB, composants, Main DI'!$F13-'PCB, composants, Main DI'!$H13</f>
        <v>0.0207354</v>
      </c>
      <c r="J13" s="6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4" t="s">
        <v>36</v>
      </c>
      <c r="B14" s="4">
        <v>47.94</v>
      </c>
      <c r="C14" s="4">
        <v>0.52</v>
      </c>
      <c r="D14" s="4">
        <v>479390.0</v>
      </c>
      <c r="E14" s="4"/>
      <c r="F14" s="6">
        <f>'PCB, composants, Main DI'!$D14/1000000*$B$39</f>
        <v>52.637022</v>
      </c>
      <c r="G14" s="4">
        <v>30.0</v>
      </c>
      <c r="H14" s="6">
        <v>24.6</v>
      </c>
      <c r="I14" s="7">
        <f>'PCB, composants, Main DI'!$F14-'PCB, composants, Main DI'!$H14</f>
        <v>28.037022</v>
      </c>
      <c r="J14" s="6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4" t="s">
        <v>37</v>
      </c>
      <c r="B15" s="4">
        <v>6.17</v>
      </c>
      <c r="C15" s="4">
        <v>0.09</v>
      </c>
      <c r="D15" s="4">
        <v>61651.0</v>
      </c>
      <c r="E15" s="4"/>
      <c r="F15" s="6">
        <f>'PCB, composants, Main DI'!$D15/1000000*$B$39</f>
        <v>6.7692798</v>
      </c>
      <c r="G15" s="4">
        <v>30.0</v>
      </c>
      <c r="H15" s="6">
        <v>0.00157</v>
      </c>
      <c r="I15" s="7">
        <f>'PCB, composants, Main DI'!$F15-'PCB, composants, Main DI'!$H15</f>
        <v>6.7677098</v>
      </c>
      <c r="J15" s="6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4" t="s">
        <v>38</v>
      </c>
      <c r="B16" s="4">
        <v>0.0</v>
      </c>
      <c r="C16" s="4">
        <v>0.0</v>
      </c>
      <c r="D16" s="4">
        <v>30.0</v>
      </c>
      <c r="E16" s="4" t="s">
        <v>21</v>
      </c>
      <c r="F16" s="6">
        <f>'PCB, composants, Main DI'!$D16/1000000*$B$39</f>
        <v>0.003294</v>
      </c>
      <c r="G16" s="4">
        <v>5.0</v>
      </c>
      <c r="H16" s="6">
        <v>0.0</v>
      </c>
      <c r="I16" s="7">
        <f>'PCB, composants, Main DI'!$F16-'PCB, composants, Main DI'!$H16</f>
        <v>0.003294</v>
      </c>
      <c r="J16" s="6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4" t="s">
        <v>39</v>
      </c>
      <c r="B17" s="4">
        <v>0.0</v>
      </c>
      <c r="C17" s="4">
        <v>0.0</v>
      </c>
      <c r="D17" s="4">
        <v>4.0</v>
      </c>
      <c r="E17" s="4" t="s">
        <v>21</v>
      </c>
      <c r="F17" s="6">
        <f>'PCB, composants, Main DI'!$D17/1000000*$B$39</f>
        <v>0.0004392</v>
      </c>
      <c r="G17" s="4">
        <v>5.0</v>
      </c>
      <c r="H17" s="6">
        <v>0.0</v>
      </c>
      <c r="I17" s="7">
        <f>'PCB, composants, Main DI'!$F17-'PCB, composants, Main DI'!$H17</f>
        <v>0.0004392</v>
      </c>
      <c r="J17" s="6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4" t="s">
        <v>40</v>
      </c>
      <c r="B18" s="4">
        <v>0.07</v>
      </c>
      <c r="C18" s="4">
        <v>0.0</v>
      </c>
      <c r="D18" s="4">
        <v>674.0</v>
      </c>
      <c r="E18" s="4"/>
      <c r="F18" s="6">
        <f>'PCB, composants, Main DI'!$D18/1000000*$B$39</f>
        <v>0.0740052</v>
      </c>
      <c r="G18" s="4">
        <v>30.0</v>
      </c>
      <c r="H18" s="6">
        <v>0.0249</v>
      </c>
      <c r="I18" s="7">
        <f>'PCB, composants, Main DI'!$F18-'PCB, composants, Main DI'!$H18</f>
        <v>0.0491052</v>
      </c>
      <c r="J18" s="6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4" t="s">
        <v>41</v>
      </c>
      <c r="B19" s="4">
        <v>0.56</v>
      </c>
      <c r="C19" s="4">
        <v>0.01</v>
      </c>
      <c r="D19" s="4">
        <v>5645.0</v>
      </c>
      <c r="E19" s="4"/>
      <c r="F19" s="6">
        <f>'PCB, composants, Main DI'!$D19/1000000*$B$39</f>
        <v>0.619821</v>
      </c>
      <c r="G19" s="4">
        <v>30.0</v>
      </c>
      <c r="H19" s="6">
        <v>0.0</v>
      </c>
      <c r="I19" s="7">
        <f>'PCB, composants, Main DI'!$F19-'PCB, composants, Main DI'!$H19</f>
        <v>0.619821</v>
      </c>
      <c r="J19" s="6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4" t="s">
        <v>42</v>
      </c>
      <c r="B20" s="4">
        <v>0.34</v>
      </c>
      <c r="C20" s="4">
        <v>0.01</v>
      </c>
      <c r="D20" s="4">
        <v>3409.0</v>
      </c>
      <c r="E20" s="4"/>
      <c r="F20" s="6">
        <f>'PCB, composants, Main DI'!$D20/1000000*$B$39</f>
        <v>0.3743082</v>
      </c>
      <c r="G20" s="4">
        <v>5.0</v>
      </c>
      <c r="H20" s="6">
        <v>8.41</v>
      </c>
      <c r="I20" s="8">
        <f>'PCB, composants, Main DI'!$F20-'PCB, composants, Main DI'!$H20</f>
        <v>-8.0356918</v>
      </c>
      <c r="J20" s="6" t="s">
        <v>43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4" t="s">
        <v>44</v>
      </c>
      <c r="B21" s="4">
        <v>2.24</v>
      </c>
      <c r="C21" s="4">
        <v>0.01</v>
      </c>
      <c r="D21" s="4">
        <v>22433.0</v>
      </c>
      <c r="E21" s="4"/>
      <c r="F21" s="6">
        <f>'PCB, composants, Main DI'!$D21/1000000*$B$39</f>
        <v>2.4631434</v>
      </c>
      <c r="G21" s="4">
        <v>5.0</v>
      </c>
      <c r="H21" s="6">
        <v>1.2</v>
      </c>
      <c r="I21" s="7">
        <f>'PCB, composants, Main DI'!$F21-'PCB, composants, Main DI'!$H21</f>
        <v>1.2631434</v>
      </c>
      <c r="J21" s="6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4" t="s">
        <v>45</v>
      </c>
      <c r="B22" s="4">
        <v>0.02</v>
      </c>
      <c r="C22" s="4">
        <v>0.0</v>
      </c>
      <c r="D22" s="4">
        <v>215.0</v>
      </c>
      <c r="E22" s="4"/>
      <c r="F22" s="6">
        <f>'PCB, composants, Main DI'!$D22/1000000*$B$39</f>
        <v>0.023607</v>
      </c>
      <c r="G22" s="4">
        <v>30.0</v>
      </c>
      <c r="H22" s="6">
        <v>0.016</v>
      </c>
      <c r="I22" s="7">
        <f>'PCB, composants, Main DI'!$F22-'PCB, composants, Main DI'!$H22</f>
        <v>0.007607</v>
      </c>
      <c r="J22" s="6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4" t="s">
        <v>46</v>
      </c>
      <c r="B23" s="4">
        <v>0.02</v>
      </c>
      <c r="C23" s="4">
        <v>0.0</v>
      </c>
      <c r="D23" s="4">
        <v>238.0</v>
      </c>
      <c r="E23" s="4"/>
      <c r="F23" s="6">
        <f>'PCB, composants, Main DI'!$D23/1000000*$B$39</f>
        <v>0.0261324</v>
      </c>
      <c r="G23" s="4">
        <v>0.0</v>
      </c>
      <c r="H23" s="6">
        <v>0.00532</v>
      </c>
      <c r="I23" s="8">
        <f>'PCB, composants, Main DI'!$F23-'PCB, composants, Main DI'!$H23</f>
        <v>0.0208124</v>
      </c>
      <c r="J23" s="6" t="s">
        <v>47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4" t="s">
        <v>48</v>
      </c>
      <c r="B24" s="4">
        <v>0.0</v>
      </c>
      <c r="C24" s="4">
        <v>0.0</v>
      </c>
      <c r="D24" s="4">
        <v>38.0</v>
      </c>
      <c r="E24" s="4" t="s">
        <v>21</v>
      </c>
      <c r="F24" s="6">
        <f>'PCB, composants, Main DI'!$D24/1000000*$B$39</f>
        <v>0.0041724</v>
      </c>
      <c r="G24" s="4">
        <v>0.0</v>
      </c>
      <c r="H24" s="6">
        <v>0.0</v>
      </c>
      <c r="I24" s="8">
        <f>'PCB, composants, Main DI'!$F24-'PCB, composants, Main DI'!$H24</f>
        <v>0.0041724</v>
      </c>
      <c r="J24" s="6" t="s">
        <v>49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4" t="s">
        <v>50</v>
      </c>
      <c r="B25" s="4">
        <v>0.0</v>
      </c>
      <c r="C25" s="4">
        <v>0.0</v>
      </c>
      <c r="D25" s="4">
        <v>41.0</v>
      </c>
      <c r="E25" s="4" t="s">
        <v>21</v>
      </c>
      <c r="F25" s="6">
        <f>'PCB, composants, Main DI'!$D25/1000000*$B$39</f>
        <v>0.0045018</v>
      </c>
      <c r="G25" s="4">
        <v>0.0</v>
      </c>
      <c r="H25" s="6">
        <v>0.0281</v>
      </c>
      <c r="I25" s="7">
        <f>'PCB, composants, Main DI'!$F25-'PCB, composants, Main DI'!$H25</f>
        <v>-0.0235982</v>
      </c>
      <c r="J25" s="6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4" t="s">
        <v>51</v>
      </c>
      <c r="B26" s="4">
        <v>0.0</v>
      </c>
      <c r="C26" s="4">
        <v>0.0</v>
      </c>
      <c r="D26" s="4">
        <v>37.0</v>
      </c>
      <c r="E26" s="4" t="s">
        <v>21</v>
      </c>
      <c r="F26" s="6">
        <f>'PCB, composants, Main DI'!$D26/1000000*$B$39</f>
        <v>0.0040626</v>
      </c>
      <c r="G26" s="4">
        <v>0.0</v>
      </c>
      <c r="H26" s="6">
        <v>0.0</v>
      </c>
      <c r="I26" s="8">
        <f>'PCB, composants, Main DI'!$F26-'PCB, composants, Main DI'!$H26</f>
        <v>0.0040626</v>
      </c>
      <c r="J26" s="6" t="s">
        <v>52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4" t="s">
        <v>53</v>
      </c>
      <c r="B27" s="4">
        <v>5.33</v>
      </c>
      <c r="C27" s="4">
        <v>0.66</v>
      </c>
      <c r="D27" s="4">
        <v>53335.0</v>
      </c>
      <c r="E27" s="4"/>
      <c r="F27" s="6">
        <f>'PCB, composants, Main DI'!$D27/1000000*$B$39</f>
        <v>5.856183</v>
      </c>
      <c r="G27" s="4" t="s">
        <v>54</v>
      </c>
      <c r="H27" s="6">
        <f>2.27+0.259</f>
        <v>2.529</v>
      </c>
      <c r="I27" s="6">
        <f>'PCB, composants, Main DI'!$F27-'PCB, composants, Main DI'!$H27</f>
        <v>3.327183</v>
      </c>
      <c r="J27" s="6" t="s">
        <v>55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4" t="s">
        <v>56</v>
      </c>
      <c r="B28" s="4">
        <v>4.52</v>
      </c>
      <c r="C28" s="4">
        <v>0.1</v>
      </c>
      <c r="D28" s="4">
        <v>45159.0</v>
      </c>
      <c r="E28" s="4"/>
      <c r="F28" s="6">
        <f>'PCB, composants, Main DI'!$D28/1000000*$B$39</f>
        <v>4.9584582</v>
      </c>
      <c r="G28" s="4">
        <v>30.0</v>
      </c>
      <c r="H28" s="6">
        <v>0.142</v>
      </c>
      <c r="I28" s="7">
        <f>'PCB, composants, Main DI'!$F28-'PCB, composants, Main DI'!$H28</f>
        <v>4.8164582</v>
      </c>
      <c r="J28" s="6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4" t="s">
        <v>57</v>
      </c>
      <c r="B29" s="4">
        <v>1.23</v>
      </c>
      <c r="C29" s="4">
        <v>0.04</v>
      </c>
      <c r="D29" s="4">
        <v>12282.0</v>
      </c>
      <c r="E29" s="4"/>
      <c r="F29" s="6">
        <f>'PCB, composants, Main DI'!$D29/1000000*$B$39</f>
        <v>1.3485636</v>
      </c>
      <c r="G29" s="4">
        <v>5.0</v>
      </c>
      <c r="H29" s="6">
        <v>0.252</v>
      </c>
      <c r="I29" s="7">
        <f>'PCB, composants, Main DI'!$F29-'PCB, composants, Main DI'!$H29</f>
        <v>1.0965636</v>
      </c>
      <c r="J29" s="6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4" t="s">
        <v>58</v>
      </c>
      <c r="B30" s="4">
        <v>0.0</v>
      </c>
      <c r="C30" s="4">
        <v>0.0</v>
      </c>
      <c r="D30" s="4">
        <v>28.0</v>
      </c>
      <c r="E30" s="4" t="s">
        <v>21</v>
      </c>
      <c r="F30" s="6">
        <f>'PCB, composants, Main DI'!$D30/1000000*$B$39</f>
        <v>0.0030744</v>
      </c>
      <c r="G30" s="4">
        <v>0.0</v>
      </c>
      <c r="H30" s="6">
        <v>0.0</v>
      </c>
      <c r="I30" s="8">
        <f>'PCB, composants, Main DI'!$F30-'PCB, composants, Main DI'!$H30</f>
        <v>0.0030744</v>
      </c>
      <c r="J30" s="6" t="s">
        <v>59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4" t="s">
        <v>60</v>
      </c>
      <c r="B31" s="4">
        <v>0.0</v>
      </c>
      <c r="C31" s="4">
        <v>0.0</v>
      </c>
      <c r="D31" s="4">
        <v>20.0</v>
      </c>
      <c r="E31" s="4" t="s">
        <v>21</v>
      </c>
      <c r="F31" s="6">
        <f>'PCB, composants, Main DI'!$D31/1000000*$B$39</f>
        <v>0.002196</v>
      </c>
      <c r="G31" s="4">
        <v>5.0</v>
      </c>
      <c r="H31" s="6">
        <v>0.0</v>
      </c>
      <c r="I31" s="8">
        <f>'PCB, composants, Main DI'!$F31-'PCB, composants, Main DI'!$H31</f>
        <v>0.002196</v>
      </c>
      <c r="J31" s="6" t="s">
        <v>61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4" t="s">
        <v>62</v>
      </c>
      <c r="B32" s="4">
        <v>0.17</v>
      </c>
      <c r="C32" s="4">
        <v>0.0</v>
      </c>
      <c r="D32" s="4">
        <v>1743.0</v>
      </c>
      <c r="E32" s="4"/>
      <c r="F32" s="6">
        <f>'PCB, composants, Main DI'!$D32/1000000*$B$39</f>
        <v>0.1913814</v>
      </c>
      <c r="G32" s="4">
        <v>30.0</v>
      </c>
      <c r="H32" s="6">
        <v>0.00332</v>
      </c>
      <c r="I32" s="7">
        <f>'PCB, composants, Main DI'!$F32-'PCB, composants, Main DI'!$H32</f>
        <v>0.1880614</v>
      </c>
      <c r="J32" s="6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4" t="s">
        <v>63</v>
      </c>
      <c r="B33" s="4">
        <v>0.29</v>
      </c>
      <c r="C33" s="4"/>
      <c r="D33" s="4">
        <f>'PCB, composants, Main DI'!$B33/100*1000000</f>
        <v>2900</v>
      </c>
      <c r="E33" s="4"/>
      <c r="F33" s="6">
        <f>'PCB, composants, Main DI'!$D33/1000000*$B$39</f>
        <v>0.31842</v>
      </c>
      <c r="G33" s="4">
        <v>5.0</v>
      </c>
      <c r="H33" s="6"/>
      <c r="I33" s="6">
        <f>'PCB, composants, Main DI'!$F33-'PCB, composants, Main DI'!$H33</f>
        <v>0.31842</v>
      </c>
      <c r="J33" s="6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4" t="s">
        <v>64</v>
      </c>
      <c r="B34" s="4">
        <v>10.29</v>
      </c>
      <c r="C34" s="4"/>
      <c r="D34" s="4">
        <f>'PCB, composants, Main DI'!$B34/100*1000000</f>
        <v>102900</v>
      </c>
      <c r="E34" s="4"/>
      <c r="F34" s="6">
        <f>'PCB, composants, Main DI'!$D34/1000000*$B$39</f>
        <v>11.29842</v>
      </c>
      <c r="G34" s="4">
        <v>5.0</v>
      </c>
      <c r="H34" s="6"/>
      <c r="I34" s="6">
        <f>'PCB, composants, Main DI'!$F34-'PCB, composants, Main DI'!$H34</f>
        <v>11.29842</v>
      </c>
      <c r="J34" s="6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4" t="s">
        <v>65</v>
      </c>
      <c r="B35" s="4">
        <v>13.04</v>
      </c>
      <c r="C35" s="4"/>
      <c r="D35" s="4">
        <f>'PCB, composants, Main DI'!$B35/100*1000000</f>
        <v>130400</v>
      </c>
      <c r="E35" s="4"/>
      <c r="F35" s="6">
        <f>'PCB, composants, Main DI'!$D35/1000000*$B$39</f>
        <v>14.31792</v>
      </c>
      <c r="G35" s="4">
        <v>5.0</v>
      </c>
      <c r="H35" s="6"/>
      <c r="I35" s="6">
        <f>'PCB, composants, Main DI'!$F35-'PCB, composants, Main DI'!$H35</f>
        <v>14.31792</v>
      </c>
      <c r="J35" s="6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 t="s">
        <v>66</v>
      </c>
      <c r="B39" s="5">
        <v>109.8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Etienne Lees-Perasso</dc:creator>
</cp:coreProperties>
</file>