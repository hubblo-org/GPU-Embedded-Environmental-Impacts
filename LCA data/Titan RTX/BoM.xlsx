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ravail\BDD\IA\2. Fiches de documentation\Titan RTX\"/>
    </mc:Choice>
  </mc:AlternateContent>
  <xr:revisionPtr revIDLastSave="0" documentId="13_ncr:1_{FCC05AB0-12AE-49A2-89FF-7C3F7E546FA2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BOM" sheetId="1" r:id="rId1"/>
  </sheets>
  <calcPr calcId="191029"/>
</workbook>
</file>

<file path=xl/calcChain.xml><?xml version="1.0" encoding="utf-8"?>
<calcChain xmlns="http://schemas.openxmlformats.org/spreadsheetml/2006/main">
  <c r="F13" i="1" l="1"/>
  <c r="F12" i="1"/>
  <c r="F11" i="1"/>
  <c r="F10" i="1"/>
  <c r="F9" i="1"/>
  <c r="F8" i="1"/>
  <c r="F7" i="1"/>
  <c r="F6" i="1"/>
  <c r="F5" i="1"/>
  <c r="F4" i="1"/>
  <c r="F15" i="1" l="1"/>
</calcChain>
</file>

<file path=xl/sharedStrings.xml><?xml version="1.0" encoding="utf-8"?>
<sst xmlns="http://schemas.openxmlformats.org/spreadsheetml/2006/main" count="137" uniqueCount="76">
  <si>
    <t>Flow</t>
  </si>
  <si>
    <t/>
  </si>
  <si>
    <t>Product flow / Materials production / Metals and semimetals / steel electrogalvanised; 35% recycled; production mix, at plant; thickness 0,3 to 3 mm, width 600 to 2100 mm</t>
  </si>
  <si>
    <t>kg</t>
  </si>
  <si>
    <t>Product flow / Materials production / Metals and semimetals / copper</t>
  </si>
  <si>
    <t>Product flow / Materials production / Glass and ceramics / glass fibre</t>
  </si>
  <si>
    <t>Product flow / Materials production / Plastics / epoxy resin</t>
  </si>
  <si>
    <t>Product flow / Materials production / Metals and semimetals / stainless steel with chrome</t>
  </si>
  <si>
    <t>Product flow / Materials production / Plastics / polycarbonate granulate (PC); production mix, at plant</t>
  </si>
  <si>
    <t>Product flow / Materials production / Plastics / polybuthylene terephtahalate</t>
  </si>
  <si>
    <t>Product flow / Materials production / Plastics / polyamide 66</t>
  </si>
  <si>
    <t>Product flow / Materials production / Plastics / acrylonitrile butadiene styrene</t>
  </si>
  <si>
    <t>Product flow / Materials production / Organic chemicals / tetrabromobisphenol A</t>
  </si>
  <si>
    <t>Product flow / Materials production / Inorganic chemicals / quartz sand</t>
  </si>
  <si>
    <t>Product flow / Materials production / Metals and semimetals / zinc</t>
  </si>
  <si>
    <t>Product flow / Materials production / Inorganic chemicals / alumine</t>
  </si>
  <si>
    <t>Product flow / Materials production / Plastics / epoxy resin liquid; production mix, at plant</t>
  </si>
  <si>
    <t>Product flow / Materials production / Metals and semimetals / silicon</t>
  </si>
  <si>
    <t>Product flow / Materials production / Metals and semimetals / brass</t>
  </si>
  <si>
    <t>Product flow / Materials production / Plastics / polyvinyl chloride</t>
  </si>
  <si>
    <t>Product flow / Materials production / Plastics / polyethylene high density granulate (PE-HD); production mix, at plant</t>
  </si>
  <si>
    <t>Product flow / Materials production / Metals and semimetals / nickel</t>
  </si>
  <si>
    <t>Product flow / Materials production / Organic chemicals / liquid cristal polymer</t>
  </si>
  <si>
    <t>Product flow / Materials production / Metals and semimetals / tin</t>
  </si>
  <si>
    <t>Product flow / Materials production / Other mineralic materials / single crystalline silicon; Czochralski process; at plant; electronic grade</t>
  </si>
  <si>
    <t>Product flow / Materials production / Inorganic chemicals / barium oxide</t>
  </si>
  <si>
    <t>Product flow / Materials production / Other materials / raw materials (unspecified)</t>
  </si>
  <si>
    <t>Product flow / Materials production / Metals and semimetals / aluminium</t>
  </si>
  <si>
    <t>Product flow / Materials production / Inorganic chemicals / titanium dioxide</t>
  </si>
  <si>
    <t>Product flow / Materials production / Metals and semimetals / gold</t>
  </si>
  <si>
    <t>Product flow / Systems / Paints and chemical preparations / Acrylic binder; 34% in H2O; at plant</t>
  </si>
  <si>
    <t>Product flow / Materials production / Inorganic chemicals / antimony trioxide</t>
  </si>
  <si>
    <t>Product flow / Materials production / Metals and semimetals / silver</t>
  </si>
  <si>
    <t>Product flow / Materials production / Plastics / flexible polyurethane foam</t>
  </si>
  <si>
    <t>Product flow / Materials production / Metals and semimetals / titanium</t>
  </si>
  <si>
    <t>Product flow / Materials production / Metals and semimetals / silver; 27,3% recycled content; production mix, at plant</t>
  </si>
  <si>
    <t>Product flow / Materials production / Other materials / synthetic oil</t>
  </si>
  <si>
    <t>Product flow / Materials production / Organic chemicals / carbon black</t>
  </si>
  <si>
    <t>Product flow / Materials production / Organic chemicals / acetic acid</t>
  </si>
  <si>
    <t>Product flow / Materials production / Metals and semimetals / iron</t>
  </si>
  <si>
    <t>Product flow / Materials production / Inorganic chemicals / quick lime</t>
  </si>
  <si>
    <t>Product flow / Materials production / Organic chemicals / toluene</t>
  </si>
  <si>
    <t>Product flow / Materials production / Inorganic chemicals / magnesium oxide</t>
  </si>
  <si>
    <t>Product flow / Materials production / Organic chemicals / ethylene</t>
  </si>
  <si>
    <t>Product flow / ecoivent / iron pellet</t>
  </si>
  <si>
    <t>Product flow / Materials production / Metals and semimetals / tantalum</t>
  </si>
  <si>
    <t>Product flow / Materials production / Metals and semimetals / lead</t>
  </si>
  <si>
    <t>Product flow / Materials production / Inorganic chemicals / lead oxide</t>
  </si>
  <si>
    <t>Product flow / ecoivent / palladium</t>
  </si>
  <si>
    <t>Product flow / ecoivent / copper oxide</t>
  </si>
  <si>
    <t>Product flow / Materials production / Inorganic chemicals / talc</t>
  </si>
  <si>
    <t>Product flow / Materials production / Organic chemicals / butyl acrylate</t>
  </si>
  <si>
    <t>Product flow / Materials production / Plastics / polyoxymethylene (POM) granulate; 100% from waste recycling, at plant</t>
  </si>
  <si>
    <t>Product flow / Materials production / Metals and semimetals / chromium</t>
  </si>
  <si>
    <t>Product flow / Materials production / Metals and semimetals / magnesium</t>
  </si>
  <si>
    <t>Product flow / Materials production / Metals and semimetals / lead; primary; consumption mix, at plant</t>
  </si>
  <si>
    <t>Product flow / ecoivent / phosphorus, white, liquid</t>
  </si>
  <si>
    <t>Product flow / Materials production / Inorganic chemicals / sodium hydroxide</t>
  </si>
  <si>
    <t>Product flow / Materials production / Inorganic chemicals / sand</t>
  </si>
  <si>
    <t>Product flow / Materials production / Inorganic chemicals / calcium carbonate</t>
  </si>
  <si>
    <t>Product flow / Materials production / Inorganic chemicals / hydrogen</t>
  </si>
  <si>
    <t>Product flow / Materials production / Glass and ceramics / glass</t>
  </si>
  <si>
    <t>Product flow / Materials production / Inorganic chemicals / hydrocyanic acid</t>
  </si>
  <si>
    <t>Weight</t>
  </si>
  <si>
    <t>Ecosystem data</t>
  </si>
  <si>
    <t>Copper</t>
  </si>
  <si>
    <t>Steel</t>
  </si>
  <si>
    <t>PCB support</t>
  </si>
  <si>
    <t>PCB other base metals</t>
  </si>
  <si>
    <t>ABS-PC</t>
  </si>
  <si>
    <t>Aluminium</t>
  </si>
  <si>
    <t>PE within wire</t>
  </si>
  <si>
    <t>Lead</t>
  </si>
  <si>
    <t>Silver</t>
  </si>
  <si>
    <t>Gold</t>
  </si>
  <si>
    <t>somme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</si>
</sst>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Verdana"/>
    </font>
    <font>
      <b/>
      <sz val="10"/>
      <name val="Verdana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workbookViewId="0">
      <selection activeCell="A56" sqref="A56"/>
    </sheetView>
  </sheetViews>
  <sheetFormatPr baseColWidth="10" defaultRowHeight="12.6" x14ac:dyDescent="0.2"/>
  <cols>
    <col min="1" max="1" width="140.453125" bestFit="1" customWidth="1"/>
  </cols>
  <sheetData>
    <row r="1" spans="1:6" x14ac:dyDescent="0.2">
      <c r="A1" t="s">
        <v>0</v>
      </c>
      <c r="B1" t="s">
        <v>63</v>
      </c>
    </row>
    <row r="2" spans="1:6" x14ac:dyDescent="0.2">
      <c r="A2" t="s">
        <v>1</v>
      </c>
      <c r="B2" t="s">
        <v>3</v>
      </c>
    </row>
    <row r="3" spans="1:6" x14ac:dyDescent="0.2">
      <c r="A3" t="s">
        <v>2</v>
      </c>
      <c r="B3" s="1">
        <v>0.54142945781512608</v>
      </c>
      <c r="C3" t="s">
        <v>66</v>
      </c>
      <c r="E3" s="2" t="s">
        <v>64</v>
      </c>
      <c r="F3" s="3" t="s">
        <v>3</v>
      </c>
    </row>
    <row r="4" spans="1:6" x14ac:dyDescent="0.2">
      <c r="A4" t="s">
        <v>4</v>
      </c>
      <c r="B4" s="1">
        <v>0.1041573769577645</v>
      </c>
      <c r="C4" t="s">
        <v>65</v>
      </c>
      <c r="E4" t="s">
        <v>65</v>
      </c>
      <c r="F4">
        <f>SUMIF($C$3:$C$78,E4,$B$3:$B$78)</f>
        <v>0.10648172276607316</v>
      </c>
    </row>
    <row r="5" spans="1:6" x14ac:dyDescent="0.2">
      <c r="A5" t="s">
        <v>5</v>
      </c>
      <c r="B5" s="1">
        <v>9.3044890639625066E-2</v>
      </c>
      <c r="C5" t="s">
        <v>67</v>
      </c>
      <c r="E5" t="s">
        <v>66</v>
      </c>
      <c r="F5">
        <f t="shared" ref="F5:F13" si="0">SUMIF($C$3:$C$78,E5,$B$3:$B$78)</f>
        <v>0.57551997657467047</v>
      </c>
    </row>
    <row r="6" spans="1:6" x14ac:dyDescent="0.2">
      <c r="A6" t="s">
        <v>6</v>
      </c>
      <c r="B6" s="1">
        <v>5.0070797214447439E-2</v>
      </c>
      <c r="C6" t="s">
        <v>67</v>
      </c>
      <c r="E6" t="s">
        <v>67</v>
      </c>
      <c r="F6">
        <f t="shared" si="0"/>
        <v>0.2364427777745598</v>
      </c>
    </row>
    <row r="7" spans="1:6" x14ac:dyDescent="0.2">
      <c r="A7" t="s">
        <v>7</v>
      </c>
      <c r="B7" s="1">
        <v>3.4018832616355743E-2</v>
      </c>
      <c r="C7" t="s">
        <v>66</v>
      </c>
      <c r="E7" t="s">
        <v>68</v>
      </c>
      <c r="F7">
        <f t="shared" si="0"/>
        <v>1.3433022870441826E-2</v>
      </c>
    </row>
    <row r="8" spans="1:6" x14ac:dyDescent="0.2">
      <c r="A8" t="s">
        <v>8</v>
      </c>
      <c r="B8" s="1">
        <v>2.828E-2</v>
      </c>
      <c r="C8" t="s">
        <v>67</v>
      </c>
      <c r="E8" t="s">
        <v>69</v>
      </c>
      <c r="F8">
        <f t="shared" si="0"/>
        <v>0</v>
      </c>
    </row>
    <row r="9" spans="1:6" x14ac:dyDescent="0.2">
      <c r="A9" t="s">
        <v>9</v>
      </c>
      <c r="B9" s="1">
        <v>2.8177284571428551E-2</v>
      </c>
      <c r="C9" t="s">
        <v>67</v>
      </c>
      <c r="E9" t="s">
        <v>70</v>
      </c>
      <c r="F9">
        <f t="shared" si="0"/>
        <v>4.5892362371769526E-3</v>
      </c>
    </row>
    <row r="10" spans="1:6" x14ac:dyDescent="0.2">
      <c r="A10" t="s">
        <v>10</v>
      </c>
      <c r="B10" s="1">
        <v>9.0500000000000008E-3</v>
      </c>
      <c r="C10" t="s">
        <v>67</v>
      </c>
      <c r="E10" t="s">
        <v>71</v>
      </c>
      <c r="F10">
        <f t="shared" si="0"/>
        <v>1.4404025999999999E-3</v>
      </c>
    </row>
    <row r="11" spans="1:6" x14ac:dyDescent="0.2">
      <c r="A11" t="s">
        <v>11</v>
      </c>
      <c r="B11" s="1">
        <v>7.3776841680672214E-3</v>
      </c>
      <c r="C11" t="s">
        <v>67</v>
      </c>
      <c r="E11" t="s">
        <v>72</v>
      </c>
      <c r="F11">
        <f t="shared" si="0"/>
        <v>2.4570378735555826E-5</v>
      </c>
    </row>
    <row r="12" spans="1:6" x14ac:dyDescent="0.2">
      <c r="A12" t="s">
        <v>12</v>
      </c>
      <c r="B12" s="1">
        <v>6.9141607125521708E-3</v>
      </c>
      <c r="C12" t="s">
        <v>67</v>
      </c>
      <c r="E12" t="s">
        <v>73</v>
      </c>
      <c r="F12">
        <f t="shared" si="0"/>
        <v>2.089598740649855E-4</v>
      </c>
    </row>
    <row r="13" spans="1:6" x14ac:dyDescent="0.2">
      <c r="A13" t="s">
        <v>13</v>
      </c>
      <c r="B13" s="1">
        <v>5.8607975955027106E-3</v>
      </c>
      <c r="C13" t="s">
        <v>67</v>
      </c>
      <c r="E13" t="s">
        <v>74</v>
      </c>
      <c r="F13">
        <f t="shared" si="0"/>
        <v>2.9357316034580211E-4</v>
      </c>
    </row>
    <row r="14" spans="1:6" x14ac:dyDescent="0.2">
      <c r="A14" t="s">
        <v>14</v>
      </c>
      <c r="B14" s="1">
        <v>5.6873014401135468E-3</v>
      </c>
      <c r="C14" t="s">
        <v>68</v>
      </c>
    </row>
    <row r="15" spans="1:6" x14ac:dyDescent="0.2">
      <c r="A15" t="s">
        <v>15</v>
      </c>
      <c r="B15" s="1">
        <v>3.9631338358537037E-3</v>
      </c>
      <c r="C15" t="s">
        <v>70</v>
      </c>
      <c r="E15" s="3" t="s">
        <v>75</v>
      </c>
      <c r="F15">
        <f>SUM(F4:F13)</f>
        <v>0.93843424223606864</v>
      </c>
    </row>
    <row r="16" spans="1:6" x14ac:dyDescent="0.2">
      <c r="A16" t="s">
        <v>16</v>
      </c>
      <c r="B16" s="1">
        <v>3.0178907189466961E-3</v>
      </c>
      <c r="C16" t="s">
        <v>67</v>
      </c>
    </row>
    <row r="17" spans="1:3" x14ac:dyDescent="0.2">
      <c r="A17" t="s">
        <v>17</v>
      </c>
      <c r="B17" s="1">
        <v>2.356913098773887E-3</v>
      </c>
      <c r="C17" t="s">
        <v>68</v>
      </c>
    </row>
    <row r="18" spans="1:3" x14ac:dyDescent="0.2">
      <c r="A18" t="s">
        <v>18</v>
      </c>
      <c r="B18" s="1">
        <v>2.3199999700000001E-3</v>
      </c>
      <c r="C18" t="s">
        <v>65</v>
      </c>
    </row>
    <row r="19" spans="1:3" x14ac:dyDescent="0.2">
      <c r="A19" t="s">
        <v>19</v>
      </c>
      <c r="B19" s="1">
        <v>1.9682910924369731E-3</v>
      </c>
      <c r="C19" t="s">
        <v>67</v>
      </c>
    </row>
    <row r="20" spans="1:3" x14ac:dyDescent="0.2">
      <c r="A20" t="s">
        <v>20</v>
      </c>
      <c r="B20" s="1">
        <v>1.4404025999999999E-3</v>
      </c>
      <c r="C20" t="s">
        <v>71</v>
      </c>
    </row>
    <row r="21" spans="1:3" x14ac:dyDescent="0.2">
      <c r="A21" t="s">
        <v>21</v>
      </c>
      <c r="B21" s="1">
        <v>1.428300782277184E-3</v>
      </c>
      <c r="C21" t="s">
        <v>68</v>
      </c>
    </row>
    <row r="22" spans="1:3" x14ac:dyDescent="0.2">
      <c r="A22" t="s">
        <v>22</v>
      </c>
      <c r="B22" s="1">
        <v>1.383312E-3</v>
      </c>
      <c r="C22" t="s">
        <v>67</v>
      </c>
    </row>
    <row r="23" spans="1:3" x14ac:dyDescent="0.2">
      <c r="A23" t="s">
        <v>23</v>
      </c>
      <c r="B23" s="1">
        <v>1.3357913723142749E-3</v>
      </c>
      <c r="C23" t="s">
        <v>68</v>
      </c>
    </row>
    <row r="24" spans="1:3" x14ac:dyDescent="0.2">
      <c r="A24" t="s">
        <v>24</v>
      </c>
      <c r="B24" s="1">
        <v>1.0686801299999999E-3</v>
      </c>
      <c r="C24" t="s">
        <v>68</v>
      </c>
    </row>
    <row r="25" spans="1:3" x14ac:dyDescent="0.2">
      <c r="A25" t="s">
        <v>25</v>
      </c>
      <c r="B25" s="1">
        <v>8.4437291741287703E-4</v>
      </c>
      <c r="C25" t="s">
        <v>68</v>
      </c>
    </row>
    <row r="26" spans="1:3" x14ac:dyDescent="0.2">
      <c r="A26" t="s">
        <v>26</v>
      </c>
      <c r="B26" s="1">
        <v>6.3454143542036434E-4</v>
      </c>
      <c r="C26" t="s">
        <v>67</v>
      </c>
    </row>
    <row r="27" spans="1:3" x14ac:dyDescent="0.2">
      <c r="A27" t="s">
        <v>27</v>
      </c>
      <c r="B27" s="1">
        <v>6.2610240132324885E-4</v>
      </c>
      <c r="C27" t="s">
        <v>70</v>
      </c>
    </row>
    <row r="28" spans="1:3" x14ac:dyDescent="0.2">
      <c r="A28" t="s">
        <v>28</v>
      </c>
      <c r="B28" s="1">
        <v>3.8066787679007501E-4</v>
      </c>
      <c r="C28" t="s">
        <v>68</v>
      </c>
    </row>
    <row r="29" spans="1:3" x14ac:dyDescent="0.2">
      <c r="A29" t="s">
        <v>29</v>
      </c>
      <c r="B29" s="1">
        <v>2.9357316034580211E-4</v>
      </c>
      <c r="C29" t="s">
        <v>74</v>
      </c>
    </row>
    <row r="30" spans="1:3" x14ac:dyDescent="0.2">
      <c r="A30" t="s">
        <v>30</v>
      </c>
      <c r="B30" s="1">
        <v>2.5911599999999999E-4</v>
      </c>
      <c r="C30" t="s">
        <v>67</v>
      </c>
    </row>
    <row r="31" spans="1:3" x14ac:dyDescent="0.2">
      <c r="A31" t="s">
        <v>31</v>
      </c>
      <c r="B31" s="1">
        <v>1.62713045688883E-4</v>
      </c>
      <c r="C31" t="s">
        <v>68</v>
      </c>
    </row>
    <row r="32" spans="1:3" x14ac:dyDescent="0.2">
      <c r="A32" t="s">
        <v>32</v>
      </c>
      <c r="B32" s="1">
        <v>1.2870030486292639E-4</v>
      </c>
      <c r="C32" t="s">
        <v>73</v>
      </c>
    </row>
    <row r="33" spans="1:3" x14ac:dyDescent="0.2">
      <c r="A33" t="s">
        <v>33</v>
      </c>
      <c r="B33" s="1">
        <v>1.2827966386554611E-4</v>
      </c>
      <c r="C33" t="s">
        <v>67</v>
      </c>
    </row>
    <row r="34" spans="1:3" x14ac:dyDescent="0.2">
      <c r="A34" t="s">
        <v>34</v>
      </c>
      <c r="B34" s="1">
        <v>1.1101748561999999E-4</v>
      </c>
      <c r="C34" t="s">
        <v>68</v>
      </c>
    </row>
    <row r="35" spans="1:3" x14ac:dyDescent="0.2">
      <c r="A35" t="s">
        <v>35</v>
      </c>
      <c r="B35" s="1">
        <v>8.0259569202059108E-5</v>
      </c>
      <c r="C35" t="s">
        <v>73</v>
      </c>
    </row>
    <row r="36" spans="1:3" x14ac:dyDescent="0.2">
      <c r="A36" t="s">
        <v>36</v>
      </c>
      <c r="B36" s="1">
        <v>6.4463999999999998E-5</v>
      </c>
      <c r="C36" t="s">
        <v>67</v>
      </c>
    </row>
    <row r="37" spans="1:3" x14ac:dyDescent="0.2">
      <c r="A37" t="s">
        <v>37</v>
      </c>
      <c r="B37" s="1">
        <v>5.139973047505743E-5</v>
      </c>
      <c r="C37" t="s">
        <v>67</v>
      </c>
    </row>
    <row r="38" spans="1:3" x14ac:dyDescent="0.2">
      <c r="A38" t="s">
        <v>38</v>
      </c>
      <c r="B38" s="1">
        <v>4.93227306E-5</v>
      </c>
      <c r="C38" t="s">
        <v>67</v>
      </c>
    </row>
    <row r="39" spans="1:3" x14ac:dyDescent="0.2">
      <c r="A39" t="s">
        <v>39</v>
      </c>
      <c r="B39" s="1">
        <v>4.84805445594055E-5</v>
      </c>
      <c r="C39" t="s">
        <v>66</v>
      </c>
    </row>
    <row r="40" spans="1:3" x14ac:dyDescent="0.2">
      <c r="A40" t="s">
        <v>40</v>
      </c>
      <c r="B40" s="1">
        <v>4.4198822392257673E-5</v>
      </c>
      <c r="C40" t="s">
        <v>67</v>
      </c>
    </row>
    <row r="41" spans="1:3" x14ac:dyDescent="0.2">
      <c r="A41" t="s">
        <v>41</v>
      </c>
      <c r="B41" s="1">
        <v>3.8372166706054862E-5</v>
      </c>
      <c r="C41" t="s">
        <v>67</v>
      </c>
    </row>
    <row r="42" spans="1:3" x14ac:dyDescent="0.2">
      <c r="A42" t="s">
        <v>42</v>
      </c>
      <c r="B42" s="1">
        <v>2.8183816921723631E-5</v>
      </c>
      <c r="C42" t="s">
        <v>68</v>
      </c>
    </row>
    <row r="43" spans="1:3" x14ac:dyDescent="0.2">
      <c r="A43" t="s">
        <v>43</v>
      </c>
      <c r="B43" s="1">
        <v>2.3437042200000001E-5</v>
      </c>
      <c r="C43" t="s">
        <v>67</v>
      </c>
    </row>
    <row r="44" spans="1:3" x14ac:dyDescent="0.2">
      <c r="A44" t="s">
        <v>44</v>
      </c>
      <c r="B44" s="1">
        <v>2.3205598629226172E-5</v>
      </c>
      <c r="C44" t="s">
        <v>66</v>
      </c>
    </row>
    <row r="45" spans="1:3" x14ac:dyDescent="0.2">
      <c r="A45" t="s">
        <v>45</v>
      </c>
      <c r="B45" s="1">
        <v>2.2128241365307659E-5</v>
      </c>
      <c r="C45" t="s">
        <v>68</v>
      </c>
    </row>
    <row r="46" spans="1:3" x14ac:dyDescent="0.2">
      <c r="A46" t="s">
        <v>46</v>
      </c>
      <c r="B46" s="1">
        <v>1.8449869380440731E-5</v>
      </c>
      <c r="C46" t="s">
        <v>72</v>
      </c>
    </row>
    <row r="47" spans="1:3" x14ac:dyDescent="0.2">
      <c r="A47" t="s">
        <v>47</v>
      </c>
      <c r="B47" s="1">
        <v>6.070509355115093E-6</v>
      </c>
      <c r="C47" t="s">
        <v>72</v>
      </c>
    </row>
    <row r="48" spans="1:3" x14ac:dyDescent="0.2">
      <c r="A48" t="s">
        <v>48</v>
      </c>
      <c r="B48" s="1">
        <v>6.0516040944818131E-6</v>
      </c>
      <c r="C48" t="s">
        <v>68</v>
      </c>
    </row>
    <row r="49" spans="1:3" x14ac:dyDescent="0.2">
      <c r="A49" t="s">
        <v>49</v>
      </c>
      <c r="B49" s="1">
        <v>4.3458383086654482E-6</v>
      </c>
      <c r="C49" t="s">
        <v>65</v>
      </c>
    </row>
    <row r="50" spans="1:3" x14ac:dyDescent="0.2">
      <c r="A50" t="s">
        <v>50</v>
      </c>
      <c r="B50" s="1">
        <v>2.1825417140198991E-6</v>
      </c>
      <c r="C50" t="s">
        <v>67</v>
      </c>
    </row>
    <row r="51" spans="1:3" x14ac:dyDescent="0.2">
      <c r="A51" t="s">
        <v>51</v>
      </c>
      <c r="B51" s="1">
        <v>1.4189192159999999E-6</v>
      </c>
      <c r="C51" t="s">
        <v>67</v>
      </c>
    </row>
    <row r="52" spans="1:3" x14ac:dyDescent="0.2">
      <c r="A52" t="s">
        <v>52</v>
      </c>
      <c r="B52" s="1">
        <v>8.5372914894310389E-7</v>
      </c>
      <c r="C52" t="s">
        <v>67</v>
      </c>
    </row>
    <row r="53" spans="1:3" x14ac:dyDescent="0.2">
      <c r="A53" t="s">
        <v>53</v>
      </c>
      <c r="B53" s="1">
        <v>5.1971505958332445E-7</v>
      </c>
      <c r="C53" t="s">
        <v>68</v>
      </c>
    </row>
    <row r="54" spans="1:3" x14ac:dyDescent="0.2">
      <c r="A54" t="s">
        <v>54</v>
      </c>
      <c r="B54" s="1">
        <v>3.8134400999999999E-7</v>
      </c>
      <c r="C54" t="s">
        <v>68</v>
      </c>
    </row>
    <row r="55" spans="1:3" x14ac:dyDescent="0.2">
      <c r="A55" t="s">
        <v>55</v>
      </c>
      <c r="B55" s="1">
        <v>4.9999999999999998E-8</v>
      </c>
      <c r="C55" t="s">
        <v>72</v>
      </c>
    </row>
    <row r="56" spans="1:3" x14ac:dyDescent="0.2">
      <c r="A56" t="s">
        <v>56</v>
      </c>
      <c r="B56" s="1">
        <v>4.6696711456809099E-8</v>
      </c>
      <c r="C56" t="s">
        <v>67</v>
      </c>
    </row>
    <row r="57" spans="1:3" x14ac:dyDescent="0.2">
      <c r="A57" t="s">
        <v>57</v>
      </c>
      <c r="B57" s="1">
        <v>2.8358108E-8</v>
      </c>
      <c r="C57" t="s">
        <v>67</v>
      </c>
    </row>
    <row r="58" spans="1:3" x14ac:dyDescent="0.2">
      <c r="A58" t="s">
        <v>58</v>
      </c>
      <c r="B58" s="1">
        <v>7.21238784E-9</v>
      </c>
      <c r="C58" t="s">
        <v>67</v>
      </c>
    </row>
    <row r="59" spans="1:3" x14ac:dyDescent="0.2">
      <c r="A59" t="s">
        <v>59</v>
      </c>
      <c r="B59" s="1">
        <v>7.9083199999999996E-12</v>
      </c>
      <c r="C59" t="s">
        <v>67</v>
      </c>
    </row>
    <row r="60" spans="1:3" x14ac:dyDescent="0.2">
      <c r="A60" t="s">
        <v>60</v>
      </c>
      <c r="B60" s="1">
        <v>3.2898611199999999E-12</v>
      </c>
      <c r="C60" t="s">
        <v>67</v>
      </c>
    </row>
    <row r="61" spans="1:3" x14ac:dyDescent="0.2">
      <c r="A61" t="s">
        <v>61</v>
      </c>
      <c r="B61" s="1">
        <v>7.8766867199999995E-13</v>
      </c>
      <c r="C61" t="s">
        <v>67</v>
      </c>
    </row>
    <row r="62" spans="1:3" x14ac:dyDescent="0.2">
      <c r="A62" t="s">
        <v>62</v>
      </c>
      <c r="B62" s="1">
        <v>6.2159395199999998E-13</v>
      </c>
      <c r="C6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Etienne Lees-Perasso</cp:lastModifiedBy>
  <dcterms:created xsi:type="dcterms:W3CDTF">2025-08-06T16:23:22Z</dcterms:created>
  <dcterms:modified xsi:type="dcterms:W3CDTF">2025-08-06T16:37:58Z</dcterms:modified>
</cp:coreProperties>
</file>