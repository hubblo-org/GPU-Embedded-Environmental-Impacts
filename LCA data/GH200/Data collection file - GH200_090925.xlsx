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age" sheetId="1" r:id="rId4"/>
    <sheet state="visible" name="Data collection" sheetId="2" r:id="rId5"/>
  </sheets>
  <definedNames/>
  <calcPr/>
  <extLst>
    <ext uri="GoogleSheetsCustomDataVersion2">
      <go:sheetsCustomData xmlns:go="http://customooxmlschemas.google.com/" r:id="rId6" roundtripDataChecksum="S/hk8pw23HI6J/pc4gak5t1eFuLf0asdklkGAlG8ct8="/>
    </ext>
  </extLst>
</workbook>
</file>

<file path=xl/sharedStrings.xml><?xml version="1.0" encoding="utf-8"?>
<sst xmlns="http://schemas.openxmlformats.org/spreadsheetml/2006/main" count="93" uniqueCount="85">
  <si>
    <t>Data collection file</t>
  </si>
  <si>
    <t>Date</t>
  </si>
  <si>
    <t>Persons (name and mail) in charge of the collection</t>
  </si>
  <si>
    <t>Product name and reference</t>
  </si>
  <si>
    <t>GH200</t>
  </si>
  <si>
    <t>Product mass (g)</t>
  </si>
  <si>
    <t>GPU chip</t>
  </si>
  <si>
    <t>VRAM (GB)</t>
  </si>
  <si>
    <t>Others</t>
  </si>
  <si>
    <t>Main hypotheses</t>
  </si>
  <si>
    <t>Upstream transport</t>
  </si>
  <si>
    <t>Continental transport (3,500 km truck transport)</t>
  </si>
  <si>
    <t>Metal and plastic production losses</t>
  </si>
  <si>
    <t>By default: plastic 5% losses, metal 30% losses. Electronic components: taken into account in the dataset. Silicon chip: see specific documentation</t>
  </si>
  <si>
    <t>Products</t>
  </si>
  <si>
    <t>Data Collection</t>
  </si>
  <si>
    <t>Manufacturing</t>
  </si>
  <si>
    <t>Processes</t>
  </si>
  <si>
    <t>Level</t>
  </si>
  <si>
    <t>Name of component / material</t>
  </si>
  <si>
    <t>Category</t>
  </si>
  <si>
    <t>Amount</t>
  </si>
  <si>
    <t>Unitary weight (g)</t>
  </si>
  <si>
    <t>Surface (cm²)</t>
  </si>
  <si>
    <t>Volume (mm3)</t>
  </si>
  <si>
    <t>Process 1</t>
  </si>
  <si>
    <t>Unit 1</t>
  </si>
  <si>
    <t>Process 2</t>
  </si>
  <si>
    <t>Unit 2</t>
  </si>
  <si>
    <t>Process 3</t>
  </si>
  <si>
    <t>Unit 3</t>
  </si>
  <si>
    <t>Type of transport</t>
  </si>
  <si>
    <t>Distance</t>
  </si>
  <si>
    <t>Note</t>
  </si>
  <si>
    <t>1. Product</t>
  </si>
  <si>
    <t>1.1. Casing</t>
  </si>
  <si>
    <t>1.1.1. Metal</t>
  </si>
  <si>
    <t>Aluminium / Zamak ? A confirmer avec TND</t>
  </si>
  <si>
    <t>Bending, cutting</t>
  </si>
  <si>
    <t>1.2 Heatsink</t>
  </si>
  <si>
    <t>Copper and aluminium, 70/30 by hypothesis</t>
  </si>
  <si>
    <t>Machining (aluminium)</t>
  </si>
  <si>
    <t>Composition to be determined by TND</t>
  </si>
  <si>
    <t>1.3 PWB</t>
  </si>
  <si>
    <t>1.3.1 PCB</t>
  </si>
  <si>
    <t>FR4, 12 layers</t>
  </si>
  <si>
    <t>1.3.2 Components</t>
  </si>
  <si>
    <t>1.3.2.1 GPU</t>
  </si>
  <si>
    <t>UC Louvain + TND</t>
  </si>
  <si>
    <t>1.3.2.2 VRAM</t>
  </si>
  <si>
    <t>Electrolytic capacitor</t>
  </si>
  <si>
    <t>TSSOP 38</t>
  </si>
  <si>
    <t>Quartz</t>
  </si>
  <si>
    <t>TQFP 48</t>
  </si>
  <si>
    <t>Not exact component, proxy use. Exact component is smaller</t>
  </si>
  <si>
    <t>SSO 8</t>
  </si>
  <si>
    <t>Resistor - very big</t>
  </si>
  <si>
    <t>Resistor - big</t>
  </si>
  <si>
    <t>Resistor - medium</t>
  </si>
  <si>
    <t>Resistor - Small</t>
  </si>
  <si>
    <t>?</t>
  </si>
  <si>
    <t>Approximate number, not relevant as the material composition is given with TND analyses</t>
  </si>
  <si>
    <t>Capacitor - medium</t>
  </si>
  <si>
    <t>Capacitor - small</t>
  </si>
  <si>
    <t>Capacitor tantalum - medium</t>
  </si>
  <si>
    <t>Others - medium</t>
  </si>
  <si>
    <t>1.3.3 Processes</t>
  </si>
  <si>
    <t>No gold/silver/copper/tin surface treatment</t>
  </si>
  <si>
    <t>1.4 Cables</t>
  </si>
  <si>
    <t>Distribution</t>
  </si>
  <si>
    <t>Transport step</t>
  </si>
  <si>
    <t>From</t>
  </si>
  <si>
    <t>To</t>
  </si>
  <si>
    <t>Mean of transport</t>
  </si>
  <si>
    <t>Weight</t>
  </si>
  <si>
    <t>Use</t>
  </si>
  <si>
    <t>Electricity consumption - On-mode</t>
  </si>
  <si>
    <t>Electricity consumption - Idle Mode</t>
  </si>
  <si>
    <t>Electricity consumption - Off Mode</t>
  </si>
  <si>
    <t>Country</t>
  </si>
  <si>
    <t>Percent</t>
  </si>
  <si>
    <t>Power - On-mode (W)</t>
  </si>
  <si>
    <t>% time</t>
  </si>
  <si>
    <t>Power Idle Mode (W)</t>
  </si>
  <si>
    <t>Power - Off Mode (W)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</si>
</sst>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\ _€_-;\-* #,##0\ _€_-;_-* \-??\ _€_-;_-@"/>
    <numFmt numFmtId="166" formatCode="0\ %"/>
  </numFmts>
  <fonts count="12">
    <font>
      <sz val="11.0"/>
      <color theme="1"/>
      <name val="Calibri"/>
      <scheme val="minor"/>
    </font>
    <font>
      <b/>
      <sz val="24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/>
    <font>
      <b/>
      <sz val="16.0"/>
      <color theme="1"/>
      <name val="Calibri"/>
    </font>
    <font>
      <b/>
      <sz val="14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FF2CC"/>
        <bgColor rgb="FFFFF2CC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left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3" numFmtId="164" xfId="0" applyAlignment="1" applyBorder="1" applyFont="1" applyNumberFormat="1">
      <alignment readingOrder="0"/>
    </xf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0" fontId="5" numFmtId="0" xfId="0" applyFont="1"/>
    <xf borderId="1" fillId="0" fontId="3" numFmtId="0" xfId="0" applyAlignment="1" applyBorder="1" applyFont="1">
      <alignment shrinkToFit="0" wrapText="1"/>
    </xf>
    <xf borderId="13" fillId="2" fontId="6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0" fillId="0" fontId="7" numFmtId="0" xfId="0" applyFont="1"/>
    <xf borderId="0" fillId="0" fontId="8" numFmtId="0" xfId="0" applyFont="1"/>
    <xf borderId="0" fillId="0" fontId="8" numFmtId="0" xfId="0" applyAlignment="1" applyFont="1">
      <alignment horizontal="right"/>
    </xf>
    <xf borderId="16" fillId="3" fontId="9" numFmtId="0" xfId="0" applyBorder="1" applyFill="1" applyFont="1"/>
    <xf borderId="16" fillId="3" fontId="10" numFmtId="0" xfId="0" applyBorder="1" applyFont="1"/>
    <xf borderId="16" fillId="3" fontId="10" numFmtId="0" xfId="0" applyAlignment="1" applyBorder="1" applyFont="1">
      <alignment horizontal="right"/>
    </xf>
    <xf borderId="16" fillId="4" fontId="7" numFmtId="0" xfId="0" applyBorder="1" applyFill="1" applyFont="1"/>
    <xf borderId="16" fillId="4" fontId="8" numFmtId="0" xfId="0" applyBorder="1" applyFont="1"/>
    <xf borderId="16" fillId="4" fontId="8" numFmtId="0" xfId="0" applyAlignment="1" applyBorder="1" applyFont="1">
      <alignment horizontal="right"/>
    </xf>
    <xf borderId="16" fillId="4" fontId="3" numFmtId="0" xfId="0" applyBorder="1" applyFont="1"/>
    <xf borderId="17" fillId="0" fontId="8" numFmtId="0" xfId="0" applyAlignment="1" applyBorder="1" applyFont="1">
      <alignment horizontal="center"/>
    </xf>
    <xf borderId="18" fillId="0" fontId="4" numFmtId="0" xfId="0" applyBorder="1" applyFont="1"/>
    <xf borderId="19" fillId="0" fontId="4" numFmtId="0" xfId="0" applyBorder="1" applyFont="1"/>
    <xf borderId="20" fillId="0" fontId="7" numFmtId="0" xfId="0" applyAlignment="1" applyBorder="1" applyFont="1">
      <alignment horizontal="center"/>
    </xf>
    <xf borderId="21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/>
    </xf>
    <xf borderId="22" fillId="5" fontId="8" numFmtId="0" xfId="0" applyBorder="1" applyFill="1" applyFont="1"/>
    <xf borderId="1" fillId="5" fontId="8" numFmtId="0" xfId="0" applyBorder="1" applyFont="1"/>
    <xf borderId="1" fillId="5" fontId="3" numFmtId="0" xfId="0" applyBorder="1" applyFont="1"/>
    <xf borderId="23" fillId="5" fontId="8" numFmtId="0" xfId="0" applyBorder="1" applyFont="1"/>
    <xf borderId="22" fillId="5" fontId="3" numFmtId="0" xfId="0" applyBorder="1" applyFont="1"/>
    <xf borderId="22" fillId="5" fontId="11" numFmtId="0" xfId="0" applyBorder="1" applyFont="1"/>
    <xf borderId="1" fillId="5" fontId="11" numFmtId="0" xfId="0" applyBorder="1" applyFont="1"/>
    <xf borderId="24" fillId="5" fontId="8" numFmtId="0" xfId="0" applyBorder="1" applyFont="1"/>
    <xf borderId="25" fillId="5" fontId="8" numFmtId="0" xfId="0" applyBorder="1" applyFont="1"/>
    <xf borderId="26" fillId="5" fontId="8" numFmtId="0" xfId="0" applyBorder="1" applyFont="1"/>
    <xf borderId="27" fillId="5" fontId="8" numFmtId="165" xfId="0" applyBorder="1" applyFont="1" applyNumberFormat="1"/>
    <xf borderId="28" fillId="5" fontId="8" numFmtId="165" xfId="0" applyBorder="1" applyFont="1" applyNumberFormat="1"/>
    <xf borderId="29" fillId="5" fontId="8" numFmtId="165" xfId="0" applyBorder="1" applyFont="1" applyNumberFormat="1"/>
    <xf borderId="30" fillId="0" fontId="7" numFmtId="0" xfId="0" applyAlignment="1" applyBorder="1" applyFont="1">
      <alignment horizontal="center" shrinkToFit="0" wrapText="1"/>
    </xf>
    <xf borderId="31" fillId="0" fontId="7" numFmtId="0" xfId="0" applyAlignment="1" applyBorder="1" applyFont="1">
      <alignment horizontal="center" shrinkToFit="0" wrapText="1"/>
    </xf>
    <xf borderId="21" fillId="0" fontId="7" numFmtId="0" xfId="0" applyAlignment="1" applyBorder="1" applyFont="1">
      <alignment horizontal="center" shrinkToFit="0" wrapText="1"/>
    </xf>
    <xf borderId="1" fillId="5" fontId="8" numFmtId="166" xfId="0" applyBorder="1" applyFont="1" applyNumberFormat="1"/>
    <xf borderId="27" fillId="5" fontId="8" numFmtId="0" xfId="0" applyBorder="1" applyFont="1"/>
    <xf borderId="28" fillId="5" fontId="8" numFmtId="0" xfId="0" applyBorder="1" applyFont="1"/>
    <xf borderId="28" fillId="5" fontId="8" numFmtId="166" xfId="0" applyBorder="1" applyFont="1" applyNumberFormat="1"/>
    <xf borderId="29" fillId="5" fontId="8" numFmtId="0" xfId="0" applyBorder="1" applyFont="1"/>
    <xf borderId="30" fillId="0" fontId="7" numFmtId="0" xfId="0" applyAlignment="1" applyBorder="1" applyFont="1">
      <alignment shrinkToFit="0" wrapText="1"/>
    </xf>
    <xf borderId="31" fillId="0" fontId="7" numFmtId="0" xfId="0" applyAlignment="1" applyBorder="1" applyFont="1">
      <alignment shrinkToFit="0" wrapText="1"/>
    </xf>
    <xf borderId="20" fillId="0" fontId="7" numFmtId="0" xfId="0" applyAlignment="1" applyBorder="1" applyFont="1">
      <alignment horizontal="center" shrinkToFit="0" wrapText="1"/>
    </xf>
    <xf borderId="32" fillId="0" fontId="4" numFmtId="0" xfId="0" applyBorder="1" applyFont="1"/>
    <xf borderId="22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23" fillId="0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5.71"/>
    <col customWidth="1" min="2" max="2" width="25.14"/>
    <col customWidth="1" min="3" max="3" width="23.86"/>
    <col customWidth="1" min="4" max="26" width="8.86"/>
  </cols>
  <sheetData>
    <row r="1" ht="27.0" customHeight="1">
      <c r="A1" s="1" t="s">
        <v>0</v>
      </c>
    </row>
    <row r="2" ht="14.25" customHeight="1">
      <c r="A2" s="2" t="s">
        <v>1</v>
      </c>
      <c r="B2" s="3">
        <v>45909.0</v>
      </c>
    </row>
    <row r="3" ht="14.25" customHeight="1">
      <c r="A3" s="4" t="s">
        <v>2</v>
      </c>
      <c r="B3" s="5"/>
      <c r="C3" s="6"/>
      <c r="D3" s="6"/>
      <c r="E3" s="6"/>
      <c r="F3" s="6"/>
      <c r="G3" s="6"/>
      <c r="H3" s="6"/>
      <c r="I3" s="6"/>
      <c r="J3" s="6"/>
      <c r="K3" s="7"/>
    </row>
    <row r="4" ht="14.25" customHeight="1">
      <c r="A4" s="8"/>
      <c r="B4" s="9"/>
      <c r="K4" s="10"/>
    </row>
    <row r="5" ht="14.25" customHeight="1">
      <c r="A5" s="11"/>
      <c r="B5" s="12"/>
      <c r="C5" s="13"/>
      <c r="D5" s="13"/>
      <c r="E5" s="13"/>
      <c r="F5" s="13"/>
      <c r="G5" s="13"/>
      <c r="H5" s="13"/>
      <c r="I5" s="13"/>
      <c r="J5" s="13"/>
      <c r="K5" s="14"/>
    </row>
    <row r="6" ht="14.25" customHeight="1">
      <c r="A6" s="2" t="s">
        <v>3</v>
      </c>
      <c r="B6" s="15" t="s">
        <v>4</v>
      </c>
    </row>
    <row r="7" ht="14.25" customHeight="1">
      <c r="A7" s="2" t="s">
        <v>5</v>
      </c>
      <c r="B7" s="16"/>
    </row>
    <row r="8" ht="14.25" customHeight="1">
      <c r="A8" s="2" t="s">
        <v>6</v>
      </c>
      <c r="B8" s="16"/>
    </row>
    <row r="9" ht="14.25" customHeight="1">
      <c r="A9" s="2" t="s">
        <v>7</v>
      </c>
      <c r="B9" s="16"/>
    </row>
    <row r="10" ht="14.25" customHeight="1">
      <c r="A10" s="2" t="s">
        <v>8</v>
      </c>
      <c r="B10" s="16"/>
    </row>
    <row r="11" ht="14.25" customHeight="1"/>
    <row r="12" ht="14.25" customHeight="1"/>
    <row r="13" ht="14.25" customHeight="1">
      <c r="A13" s="17" t="s">
        <v>9</v>
      </c>
    </row>
    <row r="14" ht="14.25" customHeight="1">
      <c r="A14" s="2" t="s">
        <v>10</v>
      </c>
      <c r="B14" s="18" t="s">
        <v>11</v>
      </c>
    </row>
    <row r="15" ht="14.25" customHeight="1">
      <c r="A15" s="2" t="s">
        <v>12</v>
      </c>
      <c r="B15" s="18" t="s">
        <v>13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3:A5"/>
    <mergeCell ref="B3:K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2.71"/>
    <col customWidth="1" min="2" max="2" width="14.0"/>
    <col customWidth="1" min="3" max="3" width="27.86"/>
    <col customWidth="1" min="4" max="4" width="11.29"/>
    <col customWidth="1" min="5" max="5" width="8.86"/>
    <col customWidth="1" min="6" max="6" width="19.71"/>
    <col customWidth="1" min="7" max="7" width="13.57"/>
    <col customWidth="1" min="8" max="8" width="20.29"/>
    <col customWidth="1" min="9" max="9" width="8.86"/>
    <col customWidth="1" min="10" max="10" width="6.14"/>
    <col customWidth="1" min="11" max="11" width="8.86"/>
    <col customWidth="1" min="12" max="12" width="6.14"/>
    <col customWidth="1" min="13" max="13" width="8.86"/>
    <col customWidth="1" min="14" max="14" width="6.14"/>
    <col customWidth="1" min="15" max="15" width="15.71"/>
    <col customWidth="1" min="16" max="16" width="8.29"/>
    <col customWidth="1" min="17" max="17" width="53.86"/>
    <col customWidth="1" min="18" max="26" width="10.71"/>
  </cols>
  <sheetData>
    <row r="1" ht="14.25" customHeight="1">
      <c r="A1" s="19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ht="14.25" customHeight="1">
      <c r="A2" s="21"/>
    </row>
    <row r="3" ht="14.25" customHeight="1">
      <c r="A3" s="22"/>
      <c r="B3" s="23"/>
      <c r="C3" s="23"/>
      <c r="D3" s="24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ht="14.25" customHeight="1">
      <c r="A4" s="25"/>
      <c r="B4" s="25" t="s">
        <v>15</v>
      </c>
      <c r="C4" s="26"/>
      <c r="D4" s="27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ht="14.25" customHeight="1">
      <c r="A5" s="22"/>
      <c r="B5" s="23"/>
      <c r="C5" s="23"/>
      <c r="D5" s="24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ht="14.25" customHeight="1">
      <c r="A6" s="28"/>
      <c r="B6" s="28" t="s">
        <v>16</v>
      </c>
      <c r="C6" s="29"/>
      <c r="D6" s="30"/>
      <c r="E6" s="29"/>
      <c r="F6" s="29"/>
      <c r="G6" s="29"/>
      <c r="H6" s="29"/>
      <c r="I6" s="29"/>
      <c r="J6" s="29"/>
      <c r="K6" s="31"/>
      <c r="L6" s="31"/>
      <c r="M6" s="31"/>
      <c r="N6" s="31"/>
    </row>
    <row r="7" ht="14.25" customHeight="1">
      <c r="A7" s="22"/>
      <c r="B7" s="22"/>
      <c r="C7" s="23"/>
      <c r="D7" s="24"/>
      <c r="E7" s="23"/>
      <c r="F7" s="23"/>
      <c r="G7" s="23"/>
      <c r="H7" s="23"/>
      <c r="I7" s="23"/>
      <c r="J7" s="23"/>
    </row>
    <row r="8" ht="14.25" customHeight="1">
      <c r="A8" s="22"/>
      <c r="D8" s="24"/>
      <c r="E8" s="23"/>
      <c r="F8" s="23"/>
      <c r="G8" s="23"/>
      <c r="H8" s="23"/>
      <c r="I8" s="23"/>
      <c r="J8" s="23"/>
      <c r="K8" s="23"/>
      <c r="L8" s="23"/>
    </row>
    <row r="9" ht="14.25" customHeight="1">
      <c r="A9" s="22"/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</row>
    <row r="10" ht="14.25" customHeight="1">
      <c r="A10" s="22"/>
      <c r="B10" s="32"/>
      <c r="C10" s="33"/>
      <c r="D10" s="33"/>
      <c r="E10" s="33"/>
      <c r="F10" s="33"/>
      <c r="G10" s="33"/>
      <c r="H10" s="34"/>
      <c r="I10" s="35" t="s">
        <v>17</v>
      </c>
      <c r="J10" s="33"/>
      <c r="K10" s="33"/>
      <c r="L10" s="33"/>
      <c r="M10" s="33"/>
      <c r="N10" s="34"/>
      <c r="O10" s="35" t="s">
        <v>10</v>
      </c>
      <c r="P10" s="34"/>
      <c r="Q10" s="36"/>
    </row>
    <row r="11" ht="14.25" customHeight="1">
      <c r="B11" s="37" t="s">
        <v>18</v>
      </c>
      <c r="C11" s="38" t="s">
        <v>19</v>
      </c>
      <c r="D11" s="38" t="s">
        <v>20</v>
      </c>
      <c r="E11" s="38" t="s">
        <v>21</v>
      </c>
      <c r="F11" s="38" t="s">
        <v>22</v>
      </c>
      <c r="G11" s="38" t="s">
        <v>23</v>
      </c>
      <c r="H11" s="38" t="s">
        <v>24</v>
      </c>
      <c r="I11" s="38" t="s">
        <v>25</v>
      </c>
      <c r="J11" s="38" t="s">
        <v>26</v>
      </c>
      <c r="K11" s="38" t="s">
        <v>27</v>
      </c>
      <c r="L11" s="38" t="s">
        <v>28</v>
      </c>
      <c r="M11" s="38" t="s">
        <v>29</v>
      </c>
      <c r="N11" s="38" t="s">
        <v>30</v>
      </c>
      <c r="O11" s="38" t="s">
        <v>31</v>
      </c>
      <c r="P11" s="38" t="s">
        <v>32</v>
      </c>
      <c r="Q11" s="39" t="s">
        <v>33</v>
      </c>
    </row>
    <row r="12" ht="14.25" customHeight="1">
      <c r="B12" s="40" t="s">
        <v>34</v>
      </c>
      <c r="C12" s="41"/>
      <c r="D12" s="41"/>
      <c r="E12" s="42"/>
      <c r="F12" s="41">
        <f>1238+37</f>
        <v>1275</v>
      </c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3"/>
    </row>
    <row r="13" ht="14.25" customHeight="1">
      <c r="B13" s="40" t="s">
        <v>35</v>
      </c>
      <c r="C13" s="41"/>
      <c r="D13" s="41"/>
      <c r="E13" s="42"/>
      <c r="F13" s="41">
        <v>390.0</v>
      </c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3"/>
    </row>
    <row r="14" ht="14.25" customHeight="1">
      <c r="B14" s="40" t="s">
        <v>36</v>
      </c>
      <c r="C14" s="41" t="s">
        <v>37</v>
      </c>
      <c r="D14" s="41"/>
      <c r="E14" s="42"/>
      <c r="F14" s="41">
        <f>270+117</f>
        <v>387</v>
      </c>
      <c r="G14" s="41"/>
      <c r="H14" s="41"/>
      <c r="I14" s="41" t="s">
        <v>38</v>
      </c>
      <c r="J14" s="41"/>
      <c r="K14" s="41"/>
      <c r="L14" s="41"/>
      <c r="M14" s="41"/>
      <c r="N14" s="41"/>
      <c r="O14" s="41"/>
      <c r="P14" s="41"/>
      <c r="Q14" s="43"/>
    </row>
    <row r="15" ht="14.25" customHeight="1">
      <c r="B15" s="40" t="s">
        <v>39</v>
      </c>
      <c r="C15" s="41" t="s">
        <v>40</v>
      </c>
      <c r="D15" s="41"/>
      <c r="E15" s="42"/>
      <c r="F15" s="41">
        <v>609.0</v>
      </c>
      <c r="G15" s="41"/>
      <c r="H15" s="41"/>
      <c r="I15" s="42" t="s">
        <v>41</v>
      </c>
      <c r="J15" s="41"/>
      <c r="K15" s="41"/>
      <c r="L15" s="41"/>
      <c r="M15" s="41"/>
      <c r="N15" s="41"/>
      <c r="O15" s="41"/>
      <c r="P15" s="41"/>
      <c r="Q15" s="43" t="s">
        <v>42</v>
      </c>
    </row>
    <row r="16" ht="14.25" customHeight="1">
      <c r="B16" s="44" t="s">
        <v>43</v>
      </c>
      <c r="C16" s="42"/>
      <c r="D16" s="42"/>
      <c r="E16" s="42"/>
      <c r="F16" s="42">
        <v>233.12</v>
      </c>
      <c r="G16" s="42"/>
      <c r="H16" s="42"/>
      <c r="I16" s="42"/>
      <c r="J16" s="41"/>
      <c r="K16" s="41"/>
      <c r="L16" s="41"/>
      <c r="M16" s="41"/>
      <c r="N16" s="41"/>
      <c r="O16" s="41"/>
      <c r="P16" s="41"/>
      <c r="Q16" s="43"/>
    </row>
    <row r="17" ht="14.25" customHeight="1">
      <c r="B17" s="44" t="s">
        <v>44</v>
      </c>
      <c r="C17" s="42" t="s">
        <v>45</v>
      </c>
      <c r="D17" s="42"/>
      <c r="E17" s="42"/>
      <c r="F17" s="42"/>
      <c r="G17" s="42">
        <f>21.7*10.8</f>
        <v>234.36</v>
      </c>
      <c r="H17" s="42"/>
      <c r="I17" s="42"/>
      <c r="J17" s="41"/>
      <c r="K17" s="41"/>
      <c r="L17" s="41"/>
      <c r="M17" s="41"/>
      <c r="N17" s="41"/>
      <c r="O17" s="41"/>
      <c r="P17" s="41"/>
      <c r="Q17" s="43"/>
    </row>
    <row r="18" ht="14.25" customHeight="1">
      <c r="B18" s="44" t="s">
        <v>46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3"/>
    </row>
    <row r="19" ht="14.25" customHeight="1">
      <c r="B19" s="45" t="s">
        <v>47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3" t="s">
        <v>48</v>
      </c>
    </row>
    <row r="20" ht="14.25" customHeight="1">
      <c r="B20" s="45" t="s">
        <v>49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3" t="s">
        <v>48</v>
      </c>
    </row>
    <row r="21" ht="14.25" customHeight="1">
      <c r="B21" s="44" t="s">
        <v>50</v>
      </c>
      <c r="C21" s="42"/>
      <c r="D21" s="42"/>
      <c r="E21" s="42">
        <v>19.0</v>
      </c>
      <c r="F21" s="42"/>
      <c r="G21" s="46"/>
      <c r="H21" s="42">
        <f>3*3*PI()*5</f>
        <v>141.3716694</v>
      </c>
      <c r="I21" s="41"/>
      <c r="J21" s="41"/>
      <c r="K21" s="41"/>
      <c r="L21" s="41"/>
      <c r="M21" s="41"/>
      <c r="N21" s="41"/>
      <c r="O21" s="41"/>
      <c r="P21" s="41"/>
      <c r="Q21" s="43"/>
    </row>
    <row r="22" ht="14.25" customHeight="1">
      <c r="B22" s="44" t="s">
        <v>51</v>
      </c>
      <c r="C22" s="42"/>
      <c r="D22" s="42"/>
      <c r="E22" s="42">
        <v>22.0</v>
      </c>
      <c r="F22" s="42">
        <v>0.094</v>
      </c>
      <c r="G22" s="46"/>
      <c r="H22" s="46"/>
      <c r="I22" s="46"/>
      <c r="J22" s="41"/>
      <c r="K22" s="41"/>
      <c r="L22" s="41"/>
      <c r="M22" s="41"/>
      <c r="N22" s="41"/>
      <c r="O22" s="41"/>
      <c r="P22" s="41"/>
      <c r="Q22" s="43"/>
    </row>
    <row r="23" ht="14.25" customHeight="1">
      <c r="B23" s="44" t="s">
        <v>52</v>
      </c>
      <c r="C23" s="42"/>
      <c r="D23" s="42"/>
      <c r="E23" s="42">
        <v>1.0</v>
      </c>
      <c r="F23" s="42"/>
      <c r="G23" s="46"/>
      <c r="H23" s="46"/>
      <c r="I23" s="46"/>
      <c r="J23" s="41"/>
      <c r="K23" s="41"/>
      <c r="L23" s="41"/>
      <c r="M23" s="41"/>
      <c r="N23" s="41"/>
      <c r="O23" s="41"/>
      <c r="P23" s="41"/>
      <c r="Q23" s="43"/>
    </row>
    <row r="24" ht="14.25" customHeight="1">
      <c r="B24" s="44" t="s">
        <v>53</v>
      </c>
      <c r="C24" s="42"/>
      <c r="D24" s="42"/>
      <c r="E24" s="42">
        <v>1.0</v>
      </c>
      <c r="F24" s="42">
        <v>0.14</v>
      </c>
      <c r="G24" s="46"/>
      <c r="H24" s="46"/>
      <c r="I24" s="46"/>
      <c r="J24" s="41"/>
      <c r="K24" s="41"/>
      <c r="L24" s="41"/>
      <c r="M24" s="41"/>
      <c r="N24" s="41"/>
      <c r="O24" s="41"/>
      <c r="P24" s="41"/>
      <c r="Q24" s="43" t="s">
        <v>54</v>
      </c>
    </row>
    <row r="25" ht="14.25" customHeight="1">
      <c r="B25" s="44" t="s">
        <v>55</v>
      </c>
      <c r="C25" s="42"/>
      <c r="D25" s="42"/>
      <c r="E25" s="42">
        <v>1.0</v>
      </c>
      <c r="F25" s="42">
        <v>0.1</v>
      </c>
      <c r="G25" s="42"/>
      <c r="H25" s="42"/>
      <c r="I25" s="42"/>
      <c r="J25" s="41"/>
      <c r="K25" s="41"/>
      <c r="L25" s="41"/>
      <c r="M25" s="41"/>
      <c r="N25" s="41"/>
      <c r="O25" s="41"/>
      <c r="P25" s="41"/>
      <c r="Q25" s="43" t="s">
        <v>54</v>
      </c>
    </row>
    <row r="26" ht="14.25" customHeight="1">
      <c r="B26" s="44" t="s">
        <v>56</v>
      </c>
      <c r="C26" s="42"/>
      <c r="D26" s="46"/>
      <c r="E26" s="42">
        <v>22.0</v>
      </c>
      <c r="F26" s="42">
        <f>(1.95*18+2.05*4)/22</f>
        <v>1.968181818</v>
      </c>
      <c r="G26" s="46"/>
      <c r="H26" s="46"/>
      <c r="I26" s="46"/>
      <c r="J26" s="41"/>
      <c r="K26" s="41"/>
      <c r="L26" s="41"/>
      <c r="M26" s="41"/>
      <c r="N26" s="41"/>
      <c r="O26" s="41"/>
      <c r="P26" s="41"/>
      <c r="Q26" s="43"/>
    </row>
    <row r="27" ht="14.25" customHeight="1">
      <c r="B27" s="44" t="s">
        <v>57</v>
      </c>
      <c r="C27" s="42"/>
      <c r="D27" s="46"/>
      <c r="E27" s="42">
        <v>41.0</v>
      </c>
      <c r="F27" s="42"/>
      <c r="G27" s="46"/>
      <c r="H27" s="46"/>
      <c r="I27" s="46"/>
      <c r="J27" s="41"/>
      <c r="K27" s="41"/>
      <c r="L27" s="41"/>
      <c r="M27" s="41"/>
      <c r="N27" s="41"/>
      <c r="O27" s="41"/>
      <c r="P27" s="41"/>
      <c r="Q27" s="43"/>
    </row>
    <row r="28" ht="14.25" customHeight="1">
      <c r="B28" s="44" t="s">
        <v>58</v>
      </c>
      <c r="C28" s="42"/>
      <c r="D28" s="46"/>
      <c r="E28" s="42">
        <v>4.0</v>
      </c>
      <c r="F28" s="46"/>
      <c r="G28" s="46"/>
      <c r="H28" s="46"/>
      <c r="I28" s="46"/>
      <c r="J28" s="41"/>
      <c r="K28" s="41"/>
      <c r="L28" s="41"/>
      <c r="M28" s="41"/>
      <c r="N28" s="41"/>
      <c r="O28" s="41"/>
      <c r="P28" s="41"/>
      <c r="Q28" s="43"/>
    </row>
    <row r="29" ht="14.25" customHeight="1">
      <c r="B29" s="44" t="s">
        <v>59</v>
      </c>
      <c r="C29" s="42"/>
      <c r="D29" s="46"/>
      <c r="E29" s="42" t="s">
        <v>60</v>
      </c>
      <c r="F29" s="46"/>
      <c r="G29" s="46"/>
      <c r="H29" s="46"/>
      <c r="I29" s="46"/>
      <c r="J29" s="41"/>
      <c r="K29" s="41"/>
      <c r="L29" s="41"/>
      <c r="M29" s="41"/>
      <c r="N29" s="41"/>
      <c r="O29" s="41"/>
      <c r="P29" s="41"/>
      <c r="Q29" s="43" t="s">
        <v>61</v>
      </c>
    </row>
    <row r="30" ht="14.25" customHeight="1">
      <c r="B30" s="44" t="s">
        <v>62</v>
      </c>
      <c r="C30" s="42"/>
      <c r="D30" s="42"/>
      <c r="E30" s="42">
        <f>79+140+52</f>
        <v>271</v>
      </c>
      <c r="F30" s="46"/>
      <c r="G30" s="46"/>
      <c r="H30" s="46"/>
      <c r="I30" s="46"/>
      <c r="J30" s="41"/>
      <c r="K30" s="41"/>
      <c r="L30" s="41"/>
      <c r="M30" s="41"/>
      <c r="N30" s="41"/>
      <c r="O30" s="41"/>
      <c r="P30" s="41"/>
      <c r="Q30" s="43"/>
    </row>
    <row r="31" ht="14.25" customHeight="1">
      <c r="B31" s="44" t="s">
        <v>63</v>
      </c>
      <c r="C31" s="47"/>
      <c r="D31" s="47"/>
      <c r="E31" s="47" t="s">
        <v>60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3" t="s">
        <v>61</v>
      </c>
    </row>
    <row r="32" ht="14.25" customHeight="1">
      <c r="B32" s="44" t="s">
        <v>64</v>
      </c>
      <c r="C32" s="47"/>
      <c r="D32" s="47"/>
      <c r="E32" s="47">
        <v>0.0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8"/>
    </row>
    <row r="33" ht="14.25" customHeight="1">
      <c r="B33" s="44" t="s">
        <v>65</v>
      </c>
      <c r="C33" s="47"/>
      <c r="D33" s="47"/>
      <c r="E33" s="47">
        <v>20.0</v>
      </c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8"/>
    </row>
    <row r="34" ht="14.25" customHeight="1">
      <c r="B34" s="44" t="s">
        <v>66</v>
      </c>
      <c r="C34" s="42" t="s">
        <v>67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8"/>
    </row>
    <row r="35" ht="14.25" customHeight="1">
      <c r="B35" s="44" t="s">
        <v>68</v>
      </c>
      <c r="C35" s="47"/>
      <c r="D35" s="47"/>
      <c r="E35" s="47">
        <v>1.0</v>
      </c>
      <c r="F35" s="47">
        <v>37.0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8"/>
    </row>
    <row r="36" ht="14.25" customHeight="1">
      <c r="B36" s="44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8"/>
    </row>
    <row r="37" ht="14.25" customHeight="1">
      <c r="B37" s="44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8"/>
    </row>
    <row r="38" ht="14.25" customHeight="1">
      <c r="B38" s="44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8"/>
    </row>
    <row r="39" ht="14.25" customHeight="1">
      <c r="B39" s="44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8"/>
    </row>
    <row r="40" ht="14.25" customHeight="1">
      <c r="B40" s="44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8"/>
    </row>
    <row r="41" ht="14.25" customHeight="1">
      <c r="B41" s="44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8"/>
    </row>
    <row r="42" ht="14.25" customHeight="1">
      <c r="B42" s="49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8"/>
    </row>
    <row r="43" ht="14.25" customHeight="1">
      <c r="B43" s="49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8"/>
    </row>
    <row r="44" ht="14.25" customHeight="1">
      <c r="B44" s="49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8"/>
    </row>
    <row r="45" ht="14.25" customHeight="1">
      <c r="B45" s="49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8"/>
    </row>
    <row r="46" ht="14.25" customHeight="1">
      <c r="B46" s="49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8"/>
    </row>
    <row r="47" ht="14.25" customHeight="1">
      <c r="B47" s="49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8"/>
    </row>
    <row r="48" ht="14.25" customHeight="1">
      <c r="B48" s="49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8"/>
    </row>
    <row r="49" ht="14.25" customHeight="1">
      <c r="B49" s="49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8"/>
    </row>
    <row r="50" ht="14.25" customHeight="1">
      <c r="B50" s="50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2"/>
    </row>
    <row r="51" ht="14.25" customHeight="1"/>
    <row r="52" ht="14.25" customHeight="1"/>
    <row r="53" ht="14.25" customHeight="1"/>
    <row r="54" ht="14.25" customHeight="1">
      <c r="A54" s="28"/>
      <c r="B54" s="28" t="s">
        <v>69</v>
      </c>
      <c r="C54" s="29"/>
      <c r="D54" s="30"/>
      <c r="E54" s="29"/>
      <c r="F54" s="29"/>
      <c r="G54" s="29"/>
      <c r="H54" s="29"/>
      <c r="I54" s="29"/>
      <c r="J54" s="29"/>
      <c r="K54" s="31"/>
      <c r="L54" s="31"/>
      <c r="M54" s="31"/>
      <c r="N54" s="31"/>
    </row>
    <row r="55" ht="14.25" customHeight="1">
      <c r="A55" s="22"/>
      <c r="B55" s="22"/>
      <c r="C55" s="23"/>
      <c r="D55" s="24"/>
      <c r="E55" s="23"/>
      <c r="F55" s="23"/>
      <c r="G55" s="23"/>
      <c r="H55" s="23"/>
      <c r="I55" s="23"/>
      <c r="J55" s="23"/>
    </row>
    <row r="56" ht="14.25" customHeight="1">
      <c r="A56" s="22"/>
      <c r="D56" s="24"/>
      <c r="E56" s="23"/>
      <c r="F56" s="23"/>
      <c r="G56" s="23"/>
      <c r="H56" s="23"/>
      <c r="I56" s="23"/>
      <c r="J56" s="23"/>
      <c r="K56" s="23"/>
      <c r="L56" s="23"/>
    </row>
    <row r="57" ht="14.25" customHeight="1">
      <c r="A57" s="22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</row>
    <row r="58" ht="14.25" customHeight="1">
      <c r="B58" s="53" t="s">
        <v>70</v>
      </c>
      <c r="C58" s="54" t="s">
        <v>71</v>
      </c>
      <c r="D58" s="54" t="s">
        <v>72</v>
      </c>
      <c r="E58" s="54" t="s">
        <v>73</v>
      </c>
      <c r="F58" s="54" t="s">
        <v>32</v>
      </c>
      <c r="G58" s="55" t="s">
        <v>74</v>
      </c>
    </row>
    <row r="59" ht="14.25" customHeight="1">
      <c r="B59" s="40"/>
      <c r="C59" s="41"/>
      <c r="D59" s="56"/>
      <c r="E59" s="41"/>
      <c r="F59" s="41"/>
      <c r="G59" s="43"/>
    </row>
    <row r="60" ht="14.25" customHeight="1">
      <c r="B60" s="40"/>
      <c r="C60" s="41"/>
      <c r="D60" s="56"/>
      <c r="E60" s="41"/>
      <c r="F60" s="41"/>
      <c r="G60" s="43"/>
    </row>
    <row r="61" ht="14.25" customHeight="1">
      <c r="B61" s="40"/>
      <c r="C61" s="41"/>
      <c r="D61" s="56"/>
      <c r="E61" s="41"/>
      <c r="F61" s="41"/>
      <c r="G61" s="43"/>
    </row>
    <row r="62" ht="14.25" customHeight="1">
      <c r="B62" s="40"/>
      <c r="C62" s="41"/>
      <c r="D62" s="56"/>
      <c r="E62" s="41"/>
      <c r="F62" s="41"/>
      <c r="G62" s="43"/>
    </row>
    <row r="63" ht="14.25" customHeight="1">
      <c r="B63" s="57"/>
      <c r="C63" s="58"/>
      <c r="D63" s="59"/>
      <c r="E63" s="58"/>
      <c r="F63" s="58"/>
      <c r="G63" s="60"/>
    </row>
    <row r="64" ht="14.25" customHeight="1"/>
    <row r="65" ht="14.25" customHeight="1"/>
    <row r="66" ht="14.25" customHeight="1"/>
    <row r="67" ht="14.25" customHeight="1"/>
    <row r="68" ht="14.25" customHeight="1">
      <c r="A68" s="28"/>
      <c r="B68" s="28" t="s">
        <v>75</v>
      </c>
      <c r="C68" s="29"/>
      <c r="D68" s="30"/>
      <c r="E68" s="29"/>
      <c r="F68" s="29"/>
      <c r="G68" s="29"/>
      <c r="H68" s="29"/>
      <c r="I68" s="29"/>
      <c r="J68" s="29"/>
      <c r="K68" s="31"/>
      <c r="L68" s="31"/>
      <c r="M68" s="31"/>
      <c r="N68" s="31"/>
    </row>
    <row r="69" ht="14.25" customHeight="1">
      <c r="A69" s="22"/>
      <c r="B69" s="22"/>
      <c r="C69" s="23"/>
      <c r="D69" s="24"/>
      <c r="E69" s="23"/>
      <c r="F69" s="23"/>
      <c r="G69" s="23"/>
      <c r="H69" s="23"/>
      <c r="I69" s="23"/>
      <c r="J69" s="23"/>
    </row>
    <row r="70" ht="14.25" customHeight="1">
      <c r="A70" s="22"/>
      <c r="D70" s="24"/>
      <c r="E70" s="23"/>
      <c r="F70" s="23"/>
      <c r="G70" s="23"/>
      <c r="H70" s="23"/>
      <c r="I70" s="23"/>
      <c r="J70" s="23"/>
      <c r="K70" s="23"/>
      <c r="L70" s="23"/>
    </row>
    <row r="71" ht="14.25" customHeight="1">
      <c r="A71" s="22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</row>
    <row r="72" ht="14.25" customHeight="1">
      <c r="B72" s="61"/>
      <c r="C72" s="62"/>
      <c r="D72" s="63" t="s">
        <v>76</v>
      </c>
      <c r="E72" s="34"/>
      <c r="F72" s="63" t="s">
        <v>77</v>
      </c>
      <c r="G72" s="34"/>
      <c r="H72" s="63" t="s">
        <v>78</v>
      </c>
      <c r="I72" s="64"/>
    </row>
    <row r="73" ht="14.25" customHeight="1">
      <c r="B73" s="65" t="s">
        <v>79</v>
      </c>
      <c r="C73" s="66" t="s">
        <v>80</v>
      </c>
      <c r="D73" s="66" t="s">
        <v>81</v>
      </c>
      <c r="E73" s="66" t="s">
        <v>82</v>
      </c>
      <c r="F73" s="66" t="s">
        <v>83</v>
      </c>
      <c r="G73" s="66" t="s">
        <v>82</v>
      </c>
      <c r="H73" s="66" t="s">
        <v>84</v>
      </c>
      <c r="I73" s="67" t="s">
        <v>82</v>
      </c>
    </row>
    <row r="74" ht="14.25" customHeight="1">
      <c r="B74" s="40"/>
      <c r="C74" s="41"/>
      <c r="D74" s="41"/>
      <c r="E74" s="41"/>
      <c r="F74" s="56"/>
      <c r="G74" s="41"/>
      <c r="H74" s="41"/>
      <c r="I74" s="43"/>
    </row>
    <row r="75" ht="14.25" customHeight="1">
      <c r="B75" s="40"/>
      <c r="C75" s="41"/>
      <c r="D75" s="41"/>
      <c r="E75" s="41"/>
      <c r="F75" s="56"/>
      <c r="G75" s="41"/>
      <c r="H75" s="41"/>
      <c r="I75" s="43"/>
    </row>
    <row r="76" ht="14.25" customHeight="1">
      <c r="B76" s="40"/>
      <c r="C76" s="41"/>
      <c r="D76" s="41"/>
      <c r="E76" s="41"/>
      <c r="F76" s="56"/>
      <c r="G76" s="41"/>
      <c r="H76" s="41"/>
      <c r="I76" s="43"/>
    </row>
    <row r="77" ht="14.25" customHeight="1">
      <c r="B77" s="40"/>
      <c r="C77" s="41"/>
      <c r="D77" s="41"/>
      <c r="E77" s="41"/>
      <c r="F77" s="56"/>
      <c r="G77" s="41"/>
      <c r="H77" s="41"/>
      <c r="I77" s="43"/>
    </row>
    <row r="78" ht="14.25" customHeight="1">
      <c r="B78" s="57"/>
      <c r="C78" s="58"/>
      <c r="D78" s="58"/>
      <c r="E78" s="58"/>
      <c r="F78" s="59"/>
      <c r="G78" s="58"/>
      <c r="H78" s="58"/>
      <c r="I78" s="60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N2"/>
    <mergeCell ref="B10:H10"/>
    <mergeCell ref="I10:N10"/>
    <mergeCell ref="O10:P10"/>
    <mergeCell ref="D72:E72"/>
    <mergeCell ref="F72:G72"/>
    <mergeCell ref="H72:I7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Etienne Lees-Perasso</dc:creator>
</cp:coreProperties>
</file>