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Travail\BDD\IA\1. Collecte\TND\GH200\"/>
    </mc:Choice>
  </mc:AlternateContent>
  <xr:revisionPtr revIDLastSave="0" documentId="13_ncr:1_{DCBE1F11-E0CB-4F3C-885C-8C5A7F016917}" xr6:coauthVersionLast="47" xr6:coauthVersionMax="47" xr10:uidLastSave="{00000000-0000-0000-0000-000000000000}"/>
  <bookViews>
    <workbookView xWindow="-38520" yWindow="-120" windowWidth="38640" windowHeight="21840" xr2:uid="{00000000-000D-0000-FFFF-FFFF00000000}"/>
  </bookViews>
  <sheets>
    <sheet name="Rack" sheetId="2" r:id="rId1"/>
    <sheet name="Carte CPU-GPU" sheetId="3" r:id="rId2"/>
    <sheet name="GPU" sheetId="4" r:id="rId3"/>
    <sheet name="CPU" sheetId="5" r:id="rId4"/>
    <sheet name="Connectiques SMX" sheetId="6" r:id="rId5"/>
  </sheets>
  <definedNames>
    <definedName name="_xlnm._FilterDatabase" localSheetId="1" hidden="1">'Carte CPU-GPU'!#REF!</definedName>
    <definedName name="_xlnm._FilterDatabase" localSheetId="4" hidden="1">'Connectiques SMX'!#REF!</definedName>
    <definedName name="_xlnm._FilterDatabase" localSheetId="3" hidden="1">CPU!#REF!</definedName>
    <definedName name="_xlnm._FilterDatabase" localSheetId="2" hidden="1">GPU!#REF!</definedName>
    <definedName name="_xlnm._FilterDatabase" localSheetId="0" hidden="1">Rack!#REF!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7" i="3" l="1"/>
  <c r="I15" i="3"/>
  <c r="I13" i="3"/>
  <c r="I11" i="3"/>
  <c r="I4" i="3"/>
  <c r="I3" i="3"/>
  <c r="I2" i="3"/>
  <c r="I18" i="2"/>
  <c r="I11" i="2"/>
  <c r="I9" i="2"/>
  <c r="I3" i="2"/>
  <c r="I2" i="2"/>
  <c r="J5" i="2"/>
  <c r="J17" i="5"/>
  <c r="J17" i="4"/>
  <c r="J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8" i="5"/>
  <c r="J19" i="5"/>
  <c r="J20" i="5"/>
  <c r="J21" i="5"/>
  <c r="J22" i="5"/>
  <c r="J23" i="5"/>
  <c r="J24" i="5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8" i="4"/>
  <c r="J19" i="4"/>
  <c r="J20" i="4"/>
  <c r="J21" i="4"/>
  <c r="J22" i="4"/>
  <c r="J23" i="4"/>
  <c r="J24" i="4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" i="2"/>
  <c r="J3" i="2"/>
  <c r="J4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F5" i="2" l="1"/>
  <c r="F4" i="2"/>
  <c r="F3" i="2"/>
  <c r="F2" i="2"/>
  <c r="F22" i="6" l="1"/>
  <c r="H22" i="6" s="1"/>
  <c r="F23" i="6"/>
  <c r="H23" i="6" s="1"/>
  <c r="F23" i="5"/>
  <c r="H23" i="5" s="1"/>
  <c r="F24" i="5"/>
  <c r="H24" i="5" s="1"/>
  <c r="F23" i="4"/>
  <c r="H23" i="4" s="1"/>
  <c r="F24" i="4"/>
  <c r="H24" i="4" s="1"/>
  <c r="F22" i="2"/>
  <c r="H22" i="2" s="1"/>
  <c r="F23" i="2"/>
  <c r="H23" i="2" s="1"/>
  <c r="F22" i="3"/>
  <c r="H22" i="3" s="1"/>
  <c r="F23" i="3"/>
  <c r="H23" i="3" s="1"/>
  <c r="F21" i="6"/>
  <c r="H21" i="6" s="1"/>
  <c r="F20" i="6"/>
  <c r="H20" i="6" s="1"/>
  <c r="F19" i="6"/>
  <c r="H19" i="6" s="1"/>
  <c r="F18" i="6"/>
  <c r="H18" i="6" s="1"/>
  <c r="F17" i="6"/>
  <c r="H17" i="6" s="1"/>
  <c r="F16" i="6"/>
  <c r="H16" i="6" s="1"/>
  <c r="F15" i="6"/>
  <c r="H15" i="6" s="1"/>
  <c r="F14" i="6"/>
  <c r="H14" i="6" s="1"/>
  <c r="F13" i="6"/>
  <c r="H13" i="6" s="1"/>
  <c r="F12" i="6"/>
  <c r="H12" i="6" s="1"/>
  <c r="F11" i="6"/>
  <c r="H11" i="6" s="1"/>
  <c r="F10" i="6"/>
  <c r="H10" i="6" s="1"/>
  <c r="F9" i="6"/>
  <c r="H9" i="6" s="1"/>
  <c r="F8" i="6"/>
  <c r="H8" i="6" s="1"/>
  <c r="F7" i="6"/>
  <c r="H7" i="6" s="1"/>
  <c r="F6" i="6"/>
  <c r="H6" i="6" s="1"/>
  <c r="F5" i="6"/>
  <c r="H5" i="6" s="1"/>
  <c r="F4" i="6"/>
  <c r="H4" i="6" s="1"/>
  <c r="F3" i="6"/>
  <c r="H3" i="6" s="1"/>
  <c r="F2" i="6"/>
  <c r="H2" i="6" s="1"/>
  <c r="F22" i="5"/>
  <c r="H22" i="5" s="1"/>
  <c r="F21" i="5"/>
  <c r="H21" i="5" s="1"/>
  <c r="F20" i="5"/>
  <c r="H20" i="5" s="1"/>
  <c r="F19" i="5"/>
  <c r="H19" i="5" s="1"/>
  <c r="F18" i="5"/>
  <c r="H18" i="5" s="1"/>
  <c r="F17" i="5"/>
  <c r="H17" i="5" s="1"/>
  <c r="F16" i="5"/>
  <c r="H16" i="5" s="1"/>
  <c r="F15" i="5"/>
  <c r="H15" i="5" s="1"/>
  <c r="F14" i="5"/>
  <c r="H14" i="5" s="1"/>
  <c r="F13" i="5"/>
  <c r="H13" i="5" s="1"/>
  <c r="F12" i="5"/>
  <c r="H12" i="5" s="1"/>
  <c r="F11" i="5"/>
  <c r="H11" i="5" s="1"/>
  <c r="F10" i="5"/>
  <c r="H10" i="5" s="1"/>
  <c r="F9" i="5"/>
  <c r="H9" i="5" s="1"/>
  <c r="F8" i="5"/>
  <c r="H8" i="5" s="1"/>
  <c r="F7" i="5"/>
  <c r="H7" i="5" s="1"/>
  <c r="F6" i="5"/>
  <c r="H6" i="5" s="1"/>
  <c r="F5" i="5"/>
  <c r="H5" i="5" s="1"/>
  <c r="F4" i="5"/>
  <c r="H4" i="5" s="1"/>
  <c r="F3" i="5"/>
  <c r="H3" i="5" s="1"/>
  <c r="F2" i="5"/>
  <c r="H2" i="5" s="1"/>
  <c r="F22" i="4"/>
  <c r="H22" i="4" s="1"/>
  <c r="F21" i="4"/>
  <c r="H21" i="4" s="1"/>
  <c r="F20" i="4"/>
  <c r="H20" i="4" s="1"/>
  <c r="F19" i="4"/>
  <c r="H19" i="4" s="1"/>
  <c r="F18" i="4"/>
  <c r="H18" i="4" s="1"/>
  <c r="F17" i="4"/>
  <c r="H17" i="4" s="1"/>
  <c r="F16" i="4"/>
  <c r="H16" i="4" s="1"/>
  <c r="F15" i="4"/>
  <c r="H15" i="4" s="1"/>
  <c r="F14" i="4"/>
  <c r="H14" i="4" s="1"/>
  <c r="F13" i="4"/>
  <c r="H13" i="4" s="1"/>
  <c r="F12" i="4"/>
  <c r="H12" i="4" s="1"/>
  <c r="F11" i="4"/>
  <c r="H11" i="4" s="1"/>
  <c r="F10" i="4"/>
  <c r="H10" i="4" s="1"/>
  <c r="F9" i="4"/>
  <c r="H9" i="4" s="1"/>
  <c r="F8" i="4"/>
  <c r="H8" i="4" s="1"/>
  <c r="F7" i="4"/>
  <c r="H7" i="4" s="1"/>
  <c r="F6" i="4"/>
  <c r="H6" i="4" s="1"/>
  <c r="F5" i="4"/>
  <c r="H5" i="4" s="1"/>
  <c r="F4" i="4"/>
  <c r="H4" i="4" s="1"/>
  <c r="F3" i="4"/>
  <c r="H3" i="4" s="1"/>
  <c r="F2" i="4"/>
  <c r="H2" i="4" s="1"/>
  <c r="F21" i="3"/>
  <c r="H21" i="3" s="1"/>
  <c r="F20" i="3"/>
  <c r="H20" i="3" s="1"/>
  <c r="F19" i="3"/>
  <c r="H19" i="3" s="1"/>
  <c r="F18" i="3"/>
  <c r="H18" i="3" s="1"/>
  <c r="F17" i="3"/>
  <c r="H17" i="3" s="1"/>
  <c r="F16" i="3"/>
  <c r="H16" i="3" s="1"/>
  <c r="F15" i="3"/>
  <c r="H15" i="3" s="1"/>
  <c r="F14" i="3"/>
  <c r="H14" i="3" s="1"/>
  <c r="F13" i="3"/>
  <c r="H13" i="3" s="1"/>
  <c r="F12" i="3"/>
  <c r="H12" i="3" s="1"/>
  <c r="F11" i="3"/>
  <c r="H11" i="3" s="1"/>
  <c r="F10" i="3"/>
  <c r="H10" i="3" s="1"/>
  <c r="F9" i="3"/>
  <c r="H9" i="3" s="1"/>
  <c r="F8" i="3"/>
  <c r="H8" i="3" s="1"/>
  <c r="F7" i="3"/>
  <c r="H7" i="3" s="1"/>
  <c r="F6" i="3"/>
  <c r="H6" i="3" s="1"/>
  <c r="F5" i="3"/>
  <c r="H5" i="3" s="1"/>
  <c r="F4" i="3"/>
  <c r="H4" i="3" s="1"/>
  <c r="F3" i="3"/>
  <c r="H3" i="3" s="1"/>
  <c r="F2" i="3"/>
  <c r="H2" i="3" s="1"/>
  <c r="H2" i="2"/>
  <c r="H3" i="2"/>
  <c r="H4" i="2"/>
  <c r="H5" i="2"/>
  <c r="F6" i="2"/>
  <c r="H6" i="2" s="1"/>
  <c r="F7" i="2"/>
  <c r="H7" i="2" s="1"/>
  <c r="F8" i="2"/>
  <c r="H8" i="2" s="1"/>
  <c r="F9" i="2"/>
  <c r="H9" i="2" s="1"/>
  <c r="F10" i="2"/>
  <c r="H10" i="2" s="1"/>
  <c r="F11" i="2"/>
  <c r="H11" i="2" s="1"/>
  <c r="F12" i="2"/>
  <c r="H12" i="2" s="1"/>
  <c r="F13" i="2"/>
  <c r="H13" i="2" s="1"/>
  <c r="F14" i="2"/>
  <c r="H14" i="2" s="1"/>
  <c r="F15" i="2"/>
  <c r="H15" i="2" s="1"/>
  <c r="F16" i="2"/>
  <c r="H16" i="2" s="1"/>
  <c r="F17" i="2"/>
  <c r="H17" i="2" s="1"/>
  <c r="F18" i="2"/>
  <c r="H18" i="2" s="1"/>
  <c r="F19" i="2"/>
  <c r="H19" i="2" s="1"/>
  <c r="F20" i="2"/>
  <c r="H20" i="2" s="1"/>
  <c r="F21" i="2"/>
  <c r="H21" i="2" s="1"/>
</calcChain>
</file>

<file path=xl/sharedStrings.xml><?xml version="1.0" encoding="utf-8"?>
<sst xmlns="http://schemas.openxmlformats.org/spreadsheetml/2006/main" count="177" uniqueCount="37">
  <si>
    <t>2σ (%wt)</t>
  </si>
  <si>
    <t>Ag</t>
  </si>
  <si>
    <t>Al</t>
  </si>
  <si>
    <t>Au</t>
  </si>
  <si>
    <t>B</t>
  </si>
  <si>
    <t>Ba</t>
  </si>
  <si>
    <t>Bi</t>
  </si>
  <si>
    <t>Ca</t>
  </si>
  <si>
    <t>Co</t>
  </si>
  <si>
    <t>Cr</t>
  </si>
  <si>
    <t>Cu</t>
  </si>
  <si>
    <t>Fe</t>
  </si>
  <si>
    <t>Mg</t>
  </si>
  <si>
    <t>Mn</t>
  </si>
  <si>
    <t>Na</t>
  </si>
  <si>
    <t>Ni</t>
  </si>
  <si>
    <t>Sn</t>
  </si>
  <si>
    <t>Ti</t>
  </si>
  <si>
    <t>V</t>
  </si>
  <si>
    <t>Zn</t>
  </si>
  <si>
    <t>Indissous</t>
  </si>
  <si>
    <t>Pertes à la pyrolyse</t>
  </si>
  <si>
    <t>Detected but which are at the limit of quantification on the equipment</t>
  </si>
  <si>
    <t>Masse totale (g)</t>
  </si>
  <si>
    <t>x</t>
  </si>
  <si>
    <t>Element</t>
  </si>
  <si>
    <t>Concentration (%wt)</t>
  </si>
  <si>
    <t>Concentration (g.T-1)</t>
  </si>
  <si>
    <t>Mass within the product (g)</t>
  </si>
  <si>
    <t>Losses (%)</t>
  </si>
  <si>
    <t>Masse before losses (g)</t>
  </si>
  <si>
    <t>Si</t>
  </si>
  <si>
    <t>Ta</t>
  </si>
  <si>
    <t>W</t>
  </si>
  <si>
    <t>Mass in EIME (g)</t>
  </si>
  <si>
    <t>Difference (g)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</si>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</sst>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1" fontId="0" fillId="3" borderId="1" xfId="0" applyNumberFormat="1" applyFill="1" applyBorder="1"/>
    <xf numFmtId="11" fontId="0" fillId="3" borderId="2" xfId="0" applyNumberFormat="1" applyFill="1" applyBorder="1"/>
    <xf numFmtId="11" fontId="0" fillId="0" borderId="1" xfId="0" applyNumberFormat="1" applyBorder="1"/>
    <xf numFmtId="11" fontId="0" fillId="0" borderId="2" xfId="0" applyNumberFormat="1" applyBorder="1"/>
    <xf numFmtId="11" fontId="0" fillId="0" borderId="1" xfId="0" applyNumberFormat="1" applyFill="1" applyBorder="1"/>
    <xf numFmtId="0" fontId="0" fillId="0" borderId="0" xfId="0" applyFill="1"/>
    <xf numFmtId="11" fontId="0" fillId="0" borderId="2" xfId="0" applyNumberFormat="1" applyFill="1" applyBorder="1"/>
    <xf numFmtId="11" fontId="0" fillId="0" borderId="0" xfId="0" applyNumberFormat="1"/>
    <xf numFmtId="11" fontId="0" fillId="0" borderId="0" xfId="0" applyNumberFormat="1" applyFill="1"/>
  </cellXfs>
  <cellStyles count="1">
    <cellStyle name="Normal" xfId="0" builtinId="0"/>
  </cellStyles>
  <dxfs count="32">
    <dxf>
      <numFmt numFmtId="15" formatCode="0.00E+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5" formatCode="0.00E+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5" formatCode="0.00E+00"/>
    </dxf>
    <dxf>
      <numFmt numFmtId="15" formatCode="0.00E+00"/>
    </dxf>
    <dxf>
      <numFmt numFmtId="15" formatCode="0.00E+00"/>
      <fill>
        <patternFill patternType="none">
          <bgColor auto="1"/>
        </patternFill>
      </fill>
    </dxf>
    <dxf>
      <numFmt numFmtId="15" formatCode="0.00E+00"/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5" formatCode="0.00E+00"/>
    </dxf>
    <dxf>
      <numFmt numFmtId="15" formatCode="0.00E+00"/>
    </dxf>
    <dxf>
      <numFmt numFmtId="15" formatCode="0.00E+00"/>
      <fill>
        <patternFill patternType="none">
          <fgColor theme="4" tint="0.79998168889431442"/>
          <bgColor auto="1"/>
        </patternFill>
      </fill>
      <border diagonalUp="0" diagonalDown="0" outline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numFmt numFmtId="15" formatCode="0.00E+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5" formatCode="0.00E+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5" formatCode="0.00E+00"/>
      <border diagonalUp="0" diagonalDown="0" outline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numFmt numFmtId="15" formatCode="0.00E+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5" formatCode="0.00E+00"/>
      <border diagonalUp="0" diagonalDown="0" outline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numFmt numFmtId="15" formatCode="0.00E+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5" formatCode="0.00E+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numFmt numFmtId="15" formatCode="0.00E+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5" formatCode="0.00E+00"/>
      <border diagonalUp="0" diagonalDown="0" outline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3E9B92-B449-434E-84BD-2AFD66E4F89E}" name="Tableau1" displayName="Tableau1" ref="A1:K23" totalsRowShown="0">
  <autoFilter ref="A1:K23" xr:uid="{883E9B92-B449-434E-84BD-2AFD66E4F89E}"/>
  <tableColumns count="11">
    <tableColumn id="1" xr3:uid="{E290B3AE-8701-48FD-A81E-C9E69428DEB1}" name="Element"/>
    <tableColumn id="2" xr3:uid="{D3CF36C5-9DC9-4B93-8F3A-B832A9411111}" name="Concentration (%wt)"/>
    <tableColumn id="3" xr3:uid="{F915994C-2385-4698-A19F-A7E823037E52}" name="2σ (%wt)"/>
    <tableColumn id="4" xr3:uid="{026D1C96-2E8C-4F50-8FB7-B0C4D6D19CCE}" name="Concentration (g.T-1)"/>
    <tableColumn id="5" xr3:uid="{F4570090-E5B1-4181-ABB5-45A1A462B895}" name="Detected but which are at the limit of quantification on the equipment"/>
    <tableColumn id="6" xr3:uid="{417AD568-A469-43F8-BF1B-BD58ADFEACF4}" name="Mass within the product (g)" dataDxfId="4">
      <calculatedColumnFormula>Tableau1[[#This Row],[Concentration (g.T-1)]]/1000000*$B$25</calculatedColumnFormula>
    </tableColumn>
    <tableColumn id="7" xr3:uid="{07556A80-5457-44DC-89B6-4BFBD10F83B2}" name="Losses (%)" dataDxfId="3"/>
    <tableColumn id="8" xr3:uid="{3821E0D2-41C1-4442-8ACA-B4871FCF9A09}" name="Masse before losses (g)" dataDxfId="2">
      <calculatedColumnFormula>Tableau1[[#This Row],[Mass within the product (g)]]*(1+Tableau1[[#This Row],[Losses (%)]])</calculatedColumnFormula>
    </tableColumn>
    <tableColumn id="9" xr3:uid="{FCCA239D-8028-44D6-85DD-3357129E722F}" name="Mass in EIME (g)" dataDxfId="1">
      <calculatedColumnFormula>0.171+0.108</calculatedColumnFormula>
    </tableColumn>
    <tableColumn id="10" xr3:uid="{E43767FF-8302-43DB-B8E1-1F4CE15F9372}" name="Difference (g)" dataDxfId="24">
      <calculatedColumnFormula>Tableau1[[#This Row],[Masse before losses (g)]]-Tableau1[[#This Row],[Mass in EIME (g)]]</calculatedColumnFormula>
    </tableColumn>
    <tableColumn id="11" xr3:uid="{2A507AE2-DAD3-48C9-9583-6BE2D84A9399}" name="Comment" dataDxfId="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44448A-BA40-4E26-851D-D454880255EA}" name="Tableau13" displayName="Tableau13" ref="A1:K23" totalsRowShown="0">
  <autoFilter ref="A1:K23" xr:uid="{883E9B92-B449-434E-84BD-2AFD66E4F89E}"/>
  <tableColumns count="11">
    <tableColumn id="1" xr3:uid="{B6023B07-0A25-4CAA-B7F0-6935E433DD43}" name="Element"/>
    <tableColumn id="2" xr3:uid="{86711175-766B-4C6E-BE49-57E61D0D909E}" name="Concentration (%wt)"/>
    <tableColumn id="3" xr3:uid="{4626F9F9-8DA2-4E69-B444-B06DB759F20F}" name="2σ (%wt)"/>
    <tableColumn id="4" xr3:uid="{3312424B-2991-4EB9-93A8-C6E97A076E99}" name="Concentration (g.T-1)"/>
    <tableColumn id="5" xr3:uid="{69733FA9-7B6A-40E7-B983-44BBD37B29BE}" name="Detected but which are at the limit of quantification on the equipment" dataDxfId="8"/>
    <tableColumn id="6" xr3:uid="{ABB12235-36BC-4D3A-881F-F55794C9D317}" name="Mass within the product (g)" dataDxfId="7">
      <calculatedColumnFormula>Tableau13[[#This Row],[Concentration (g.T-1)]]/1000000*$B$25</calculatedColumnFormula>
    </tableColumn>
    <tableColumn id="7" xr3:uid="{4987BC9E-D47C-4839-9845-B7ABD4E95546}" name="Losses (%)" dataDxfId="6"/>
    <tableColumn id="8" xr3:uid="{AD3F9FAC-F3BF-471C-A735-BFE3996D4F89}" name="Masse before losses (g)" dataDxfId="5">
      <calculatedColumnFormula>Tableau13[[#This Row],[Mass within the product (g)]]*(1+Tableau13[[#This Row],[Losses (%)]])</calculatedColumnFormula>
    </tableColumn>
    <tableColumn id="9" xr3:uid="{CFEC5604-4510-49A7-A04D-89A01BAC1ED3}" name="Mass in EIME (g)" dataDxfId="0">
      <calculatedColumnFormula>0.494+0.224</calculatedColumnFormula>
    </tableColumn>
    <tableColumn id="10" xr3:uid="{5FA3441D-B88D-4ADF-AC85-B8CF3455CFF8}" name="Difference (g)" dataDxfId="26">
      <calculatedColumnFormula>Tableau13[[#This Row],[Masse before losses (g)]]-Tableau13[[#This Row],[Mass in EIME (g)]]</calculatedColumnFormula>
    </tableColumn>
    <tableColumn id="11" xr3:uid="{70CD3D6F-1E01-418B-8750-F49B06827160}" name="Comment" dataDxfId="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1754FC-1AAB-42FC-A153-C6ACC5722C4F}" name="Tableau14" displayName="Tableau14" ref="A1:K24" totalsRowShown="0">
  <autoFilter ref="A1:K24" xr:uid="{883E9B92-B449-434E-84BD-2AFD66E4F89E}"/>
  <tableColumns count="11">
    <tableColumn id="1" xr3:uid="{87ADD70D-7F4B-4CBA-BA8B-AE5607F27C52}" name="Element"/>
    <tableColumn id="2" xr3:uid="{DC2F8D13-5D6F-46A5-B192-614E91853E64}" name="Concentration (%wt)"/>
    <tableColumn id="3" xr3:uid="{230BA68B-BF38-4960-BEB9-0C7BCC9C2567}" name="2σ (%wt)"/>
    <tableColumn id="4" xr3:uid="{1C67CB7D-57D9-4114-9E21-122111F976FB}" name="Concentration (g.T-1)"/>
    <tableColumn id="5" xr3:uid="{EC6BC637-F40D-4639-9E9D-DBA6ABBBA480}" name="Detected but which are at the limit of quantification on the equipment" dataDxfId="13"/>
    <tableColumn id="6" xr3:uid="{F3EBB39E-0F85-405F-87D5-DD490A84BAEB}" name="Mass within the product (g)" dataDxfId="12">
      <calculatedColumnFormula>Tableau14[[#This Row],[Concentration (g.T-1)]]/1000000*$B$26</calculatedColumnFormula>
    </tableColumn>
    <tableColumn id="7" xr3:uid="{27FA1335-6803-4C42-BCF0-63D57C3B861B}" name="Losses (%)" dataDxfId="11"/>
    <tableColumn id="8" xr3:uid="{8B7305F8-7794-4DDE-B733-FC4F1C9A12A8}" name="Masse before losses (g)" dataDxfId="9">
      <calculatedColumnFormula>Tableau14[[#This Row],[Mass within the product (g)]]*(1+Tableau14[[#This Row],[Losses (%)]])</calculatedColumnFormula>
    </tableColumn>
    <tableColumn id="9" xr3:uid="{28B1CF81-3F0F-4558-9AD0-C9D68D26A5CE}" name="Mass in EIME (g)" dataDxfId="10"/>
    <tableColumn id="10" xr3:uid="{EB1C941B-DB8E-497D-814B-5CADF5622940}" name="Difference (g)" dataDxfId="28">
      <calculatedColumnFormula>Tableau14[[#This Row],[Masse before losses (g)]]-Tableau14[[#This Row],[Mass in EIME (g)]]</calculatedColumnFormula>
    </tableColumn>
    <tableColumn id="11" xr3:uid="{02B2B397-DDD0-4265-8C54-A27092CFFB1F}" name="Comment" dataDxfId="2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157050F-1017-4185-AC86-8B90E5DA08A0}" name="Tableau15" displayName="Tableau15" ref="A1:K24" totalsRowShown="0">
  <autoFilter ref="A1:K24" xr:uid="{883E9B92-B449-434E-84BD-2AFD66E4F89E}"/>
  <tableColumns count="11">
    <tableColumn id="1" xr3:uid="{BC71CF2E-23A9-4565-BF2B-2D154B92CA57}" name="Element"/>
    <tableColumn id="2" xr3:uid="{0923C78D-A428-4C1C-ADC7-A1B5BC16C0E2}" name="Concentration (%wt)"/>
    <tableColumn id="3" xr3:uid="{BB378369-8CDD-4F69-B10A-51A09C754B10}" name="2σ (%wt)"/>
    <tableColumn id="4" xr3:uid="{D4953457-4F50-45A5-809D-63C2BF665A73}" name="Concentration (g.T-1)"/>
    <tableColumn id="5" xr3:uid="{487F6155-60AD-4C22-AC4A-E98C2513C2C9}" name="Detected but which are at the limit of quantification on the equipment"/>
    <tableColumn id="6" xr3:uid="{22B0D0C1-DC20-472F-B7C5-C401C1613EA6}" name="Mass within the product (g)" dataDxfId="21">
      <calculatedColumnFormula>Tableau15[[#This Row],[Concentration (g.T-1)]]/1000000*$B$26</calculatedColumnFormula>
    </tableColumn>
    <tableColumn id="7" xr3:uid="{BF09529B-ECDE-43B9-A901-EC9CAC91A445}" name="Losses (%)" dataDxfId="20"/>
    <tableColumn id="8" xr3:uid="{9B5EC933-242A-4B24-9008-7456BB39CE7B}" name="Masse before losses (g)" dataDxfId="18">
      <calculatedColumnFormula>Tableau15[[#This Row],[Mass within the product (g)]]*(1+Tableau15[[#This Row],[Losses (%)]])</calculatedColumnFormula>
    </tableColumn>
    <tableColumn id="9" xr3:uid="{78589C4B-4FB9-420A-91DD-17B7E3F07569}" name="Mass in EIME (g)" dataDxfId="19"/>
    <tableColumn id="10" xr3:uid="{C4D88DDF-2AAE-4C86-84B1-6072432ADAF8}" name="Difference (g)" dataDxfId="23">
      <calculatedColumnFormula>Tableau15[[#This Row],[Masse before losses (g)]]-Tableau15[[#This Row],[Mass in EIME (g)]]</calculatedColumnFormula>
    </tableColumn>
    <tableColumn id="11" xr3:uid="{7B30E14A-67D4-406B-AD95-D987FA91DC64}" name="Comment" dataDxfId="2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E2E980B-A176-4C56-8356-03DF28302310}" name="Tableau16" displayName="Tableau16" ref="A1:K23" totalsRowShown="0">
  <autoFilter ref="A1:K23" xr:uid="{883E9B92-B449-434E-84BD-2AFD66E4F89E}"/>
  <tableColumns count="11">
    <tableColumn id="1" xr3:uid="{D9781610-B43E-4E71-8C16-31ABF2F82248}" name="Element"/>
    <tableColumn id="2" xr3:uid="{68A43BB2-BE0E-4AE8-9AB4-E9E26237542F}" name="Concentration (%wt)"/>
    <tableColumn id="3" xr3:uid="{1431043C-F3DA-47B1-87C7-1FD7B2FFEED1}" name="2σ (%wt)"/>
    <tableColumn id="4" xr3:uid="{03FF0D68-829A-4A15-B87F-3BB83C0C9B65}" name="Concentration (g.T-1)"/>
    <tableColumn id="5" xr3:uid="{5C7FFD27-E4AA-4725-ACAC-0640C457810D}" name="Detected but which are at the limit of quantification on the equipment"/>
    <tableColumn id="6" xr3:uid="{DAF49B17-9885-400A-B470-91AA46011BDA}" name="Mass within the product (g)" dataDxfId="17">
      <calculatedColumnFormula>Tableau16[[#This Row],[Concentration (g.T-1)]]/1000000*$B$25</calculatedColumnFormula>
    </tableColumn>
    <tableColumn id="7" xr3:uid="{FB7D6978-E091-4837-8026-13E6356662CC}" name="Losses (%)" dataDxfId="16"/>
    <tableColumn id="8" xr3:uid="{FFE71486-4D7C-4F7F-9027-AB035E289A1C}" name="Masse before losses (g)" dataDxfId="14">
      <calculatedColumnFormula>Tableau16[[#This Row],[Mass within the product (g)]]*(1+Tableau16[[#This Row],[Losses (%)]])</calculatedColumnFormula>
    </tableColumn>
    <tableColumn id="9" xr3:uid="{7A1FEF0B-4FC9-41B1-ADAE-6CEF1D4EB743}" name="Mass in EIME (g)" dataDxfId="15"/>
    <tableColumn id="10" xr3:uid="{34AC4CED-95AC-4B07-89B0-39B0A1A9091A}" name="Difference (g)" dataDxfId="30">
      <calculatedColumnFormula>Tableau16[[#This Row],[Masse before losses (g)]]-Tableau16[[#This Row],[Mass in EIME (g)]]</calculatedColumnFormula>
    </tableColumn>
    <tableColumn id="11" xr3:uid="{64A74852-9E81-49F2-BB3A-C192481CB7EC}" name="Comment" dataDxfId="3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1A019-3110-45B0-8F47-80A0A1B9713E}">
  <dimension ref="A1:K25"/>
  <sheetViews>
    <sheetView showGridLines="0" tabSelected="1" workbookViewId="0">
      <selection activeCell="J1" sqref="A1:J1048576"/>
    </sheetView>
  </sheetViews>
  <sheetFormatPr baseColWidth="10" defaultRowHeight="14.4" x14ac:dyDescent="0.3"/>
  <cols>
    <col min="1" max="1" width="20.21875" bestFit="1" customWidth="1"/>
    <col min="2" max="2" width="14.88671875" customWidth="1"/>
    <col min="3" max="3" width="10.77734375" customWidth="1"/>
    <col min="4" max="4" width="15.21875" customWidth="1"/>
    <col min="5" max="5" width="24.21875" customWidth="1"/>
    <col min="6" max="6" width="25.109375" customWidth="1"/>
    <col min="7" max="7" width="12.109375" customWidth="1"/>
    <col min="8" max="8" width="21.88671875" customWidth="1"/>
    <col min="9" max="9" width="11.5546875" customWidth="1"/>
  </cols>
  <sheetData>
    <row r="1" spans="1:11" x14ac:dyDescent="0.3">
      <c r="A1" t="s">
        <v>25</v>
      </c>
      <c r="B1" t="s">
        <v>26</v>
      </c>
      <c r="C1" t="s">
        <v>0</v>
      </c>
      <c r="D1" t="s">
        <v>27</v>
      </c>
      <c r="E1" t="s">
        <v>22</v>
      </c>
      <c r="F1" t="s">
        <v>28</v>
      </c>
      <c r="G1" t="s">
        <v>29</v>
      </c>
      <c r="H1" t="s">
        <v>30</v>
      </c>
      <c r="I1" s="1" t="s">
        <v>34</v>
      </c>
      <c r="J1" s="1" t="s">
        <v>35</v>
      </c>
      <c r="K1" s="2" t="s">
        <v>36</v>
      </c>
    </row>
    <row r="2" spans="1:11" x14ac:dyDescent="0.3">
      <c r="A2" t="s">
        <v>1</v>
      </c>
      <c r="B2">
        <v>0.05</v>
      </c>
      <c r="C2">
        <v>0.01</v>
      </c>
      <c r="D2">
        <v>486</v>
      </c>
      <c r="F2" s="10">
        <f>Tableau1[[#This Row],[Concentration (g.T-1)]]/1000000*$B$25</f>
        <v>0.441774</v>
      </c>
      <c r="G2" s="10"/>
      <c r="H2" s="10">
        <f>Tableau1[[#This Row],[Mass within the product (g)]]*(1+Tableau1[[#This Row],[Losses (%)]])</f>
        <v>0.441774</v>
      </c>
      <c r="I2" s="3">
        <f t="shared" ref="I2:I23" si="0">0.171+0.108</f>
        <v>0.27900000000000003</v>
      </c>
      <c r="J2" s="7">
        <f>Tableau1[[#This Row],[Masse before losses (g)]]-Tableau1[[#This Row],[Mass in EIME (g)]]</f>
        <v>0.16277399999999997</v>
      </c>
      <c r="K2" s="4"/>
    </row>
    <row r="3" spans="1:11" x14ac:dyDescent="0.3">
      <c r="A3" t="s">
        <v>2</v>
      </c>
      <c r="B3">
        <v>3.61</v>
      </c>
      <c r="C3">
        <v>0.27</v>
      </c>
      <c r="D3">
        <v>36122</v>
      </c>
      <c r="F3" s="10">
        <f>Tableau1[[#This Row],[Concentration (g.T-1)]]/1000000*$B$25</f>
        <v>32.834898000000003</v>
      </c>
      <c r="G3" s="10"/>
      <c r="H3" s="10">
        <f>Tableau1[[#This Row],[Mass within the product (g)]]*(1+Tableau1[[#This Row],[Losses (%)]])</f>
        <v>32.834898000000003</v>
      </c>
      <c r="I3" s="5">
        <f>38.2+1.01</f>
        <v>39.21</v>
      </c>
      <c r="J3" s="7">
        <f>Tableau1[[#This Row],[Masse before losses (g)]]-Tableau1[[#This Row],[Mass in EIME (g)]]</f>
        <v>-6.3751019999999983</v>
      </c>
      <c r="K3" s="6"/>
    </row>
    <row r="4" spans="1:11" x14ac:dyDescent="0.3">
      <c r="A4" t="s">
        <v>3</v>
      </c>
      <c r="B4">
        <v>0.02</v>
      </c>
      <c r="C4">
        <v>0</v>
      </c>
      <c r="D4">
        <v>222</v>
      </c>
      <c r="F4" s="10">
        <f>Tableau1[[#This Row],[Concentration (g.T-1)]]/1000000*$B$25</f>
        <v>0.20179800000000001</v>
      </c>
      <c r="G4" s="10"/>
      <c r="H4" s="10">
        <f>Tableau1[[#This Row],[Mass within the product (g)]]*(1+Tableau1[[#This Row],[Losses (%)]])</f>
        <v>0.20179800000000001</v>
      </c>
      <c r="I4" s="3">
        <v>3.7999999999999999E-2</v>
      </c>
      <c r="J4" s="7">
        <f>Tableau1[[#This Row],[Masse before losses (g)]]-Tableau1[[#This Row],[Mass in EIME (g)]]</f>
        <v>0.163798</v>
      </c>
      <c r="K4" s="4"/>
    </row>
    <row r="5" spans="1:11" x14ac:dyDescent="0.3">
      <c r="A5" t="s">
        <v>4</v>
      </c>
      <c r="B5">
        <v>1.39</v>
      </c>
      <c r="C5">
        <v>0.08</v>
      </c>
      <c r="D5">
        <v>13935</v>
      </c>
      <c r="F5" s="10">
        <f>Tableau1[[#This Row],[Concentration (g.T-1)]]/1000000*$B$25</f>
        <v>12.666914999999999</v>
      </c>
      <c r="G5" s="10"/>
      <c r="H5" s="10">
        <f>Tableau1[[#This Row],[Mass within the product (g)]]*(1+Tableau1[[#This Row],[Losses (%)]])</f>
        <v>12.666914999999999</v>
      </c>
      <c r="I5" s="5">
        <v>0</v>
      </c>
      <c r="J5" s="7">
        <f>Tableau1[[#This Row],[Masse before losses (g)]]-Tableau1[[#This Row],[Mass in EIME (g)]]</f>
        <v>12.666914999999999</v>
      </c>
      <c r="K5" s="6"/>
    </row>
    <row r="6" spans="1:11" x14ac:dyDescent="0.3">
      <c r="A6" t="s">
        <v>5</v>
      </c>
      <c r="B6">
        <v>0.26</v>
      </c>
      <c r="C6">
        <v>0</v>
      </c>
      <c r="D6">
        <v>2616</v>
      </c>
      <c r="F6" s="10">
        <f>Tableau1[[#This Row],[Concentration (g.T-1)]]/1000000*$B$25</f>
        <v>2.3779439999999998</v>
      </c>
      <c r="G6" s="10"/>
      <c r="H6" s="10">
        <f>Tableau1[[#This Row],[Mass within the product (g)]]*(1+Tableau1[[#This Row],[Losses (%)]])</f>
        <v>2.3779439999999998</v>
      </c>
      <c r="I6" s="3">
        <v>0.48899999999999999</v>
      </c>
      <c r="J6" s="7">
        <f>Tableau1[[#This Row],[Masse before losses (g)]]-Tableau1[[#This Row],[Mass in EIME (g)]]</f>
        <v>1.888944</v>
      </c>
      <c r="K6" s="4"/>
    </row>
    <row r="7" spans="1:11" x14ac:dyDescent="0.3">
      <c r="A7" t="s">
        <v>7</v>
      </c>
      <c r="B7">
        <v>1.67</v>
      </c>
      <c r="C7">
        <v>0.38</v>
      </c>
      <c r="D7">
        <v>16683</v>
      </c>
      <c r="F7" s="10">
        <f>Tableau1[[#This Row],[Concentration (g.T-1)]]/1000000*$B$25</f>
        <v>15.164847</v>
      </c>
      <c r="G7" s="10"/>
      <c r="H7" s="10">
        <f>Tableau1[[#This Row],[Mass within the product (g)]]*(1+Tableau1[[#This Row],[Losses (%)]])</f>
        <v>15.164847</v>
      </c>
      <c r="I7" s="5">
        <v>0</v>
      </c>
      <c r="J7" s="7">
        <f>Tableau1[[#This Row],[Masse before losses (g)]]-Tableau1[[#This Row],[Mass in EIME (g)]]</f>
        <v>15.164847</v>
      </c>
      <c r="K7" s="6"/>
    </row>
    <row r="8" spans="1:11" x14ac:dyDescent="0.3">
      <c r="A8" t="s">
        <v>9</v>
      </c>
      <c r="B8">
        <v>1.17</v>
      </c>
      <c r="C8">
        <v>0.38</v>
      </c>
      <c r="D8">
        <v>11682</v>
      </c>
      <c r="F8" s="10">
        <f>Tableau1[[#This Row],[Concentration (g.T-1)]]/1000000*$B$25</f>
        <v>10.618938</v>
      </c>
      <c r="G8" s="10"/>
      <c r="H8" s="10">
        <f>Tableau1[[#This Row],[Mass within the product (g)]]*(1+Tableau1[[#This Row],[Losses (%)]])</f>
        <v>10.618938</v>
      </c>
      <c r="I8" s="3">
        <v>1.3300000000000001E-4</v>
      </c>
      <c r="J8" s="7">
        <f>Tableau1[[#This Row],[Masse before losses (g)]]-Tableau1[[#This Row],[Mass in EIME (g)]]</f>
        <v>10.618805</v>
      </c>
      <c r="K8" s="4"/>
    </row>
    <row r="9" spans="1:11" x14ac:dyDescent="0.3">
      <c r="A9" t="s">
        <v>10</v>
      </c>
      <c r="B9">
        <v>71.56</v>
      </c>
      <c r="C9">
        <v>4.1500000000000004</v>
      </c>
      <c r="D9">
        <v>715611</v>
      </c>
      <c r="F9" s="10">
        <f>Tableau1[[#This Row],[Concentration (g.T-1)]]/1000000*$B$25</f>
        <v>650.49039900000002</v>
      </c>
      <c r="G9" s="10"/>
      <c r="H9" s="10">
        <f>Tableau1[[#This Row],[Mass within the product (g)]]*(1+Tableau1[[#This Row],[Losses (%)]])</f>
        <v>650.49039900000002</v>
      </c>
      <c r="I9" s="5">
        <f>169+0.00111</f>
        <v>169.00111000000001</v>
      </c>
      <c r="J9" s="7">
        <f>Tableau1[[#This Row],[Masse before losses (g)]]-Tableau1[[#This Row],[Mass in EIME (g)]]</f>
        <v>481.48928899999999</v>
      </c>
      <c r="K9" s="6"/>
    </row>
    <row r="10" spans="1:11" x14ac:dyDescent="0.3">
      <c r="A10" t="s">
        <v>11</v>
      </c>
      <c r="B10">
        <v>0.65</v>
      </c>
      <c r="C10">
        <v>0.15</v>
      </c>
      <c r="D10">
        <v>6496</v>
      </c>
      <c r="F10" s="10">
        <f>Tableau1[[#This Row],[Concentration (g.T-1)]]/1000000*$B$25</f>
        <v>5.9048639999999999</v>
      </c>
      <c r="G10" s="10"/>
      <c r="H10" s="10">
        <f>Tableau1[[#This Row],[Mass within the product (g)]]*(1+Tableau1[[#This Row],[Losses (%)]])</f>
        <v>5.9048639999999999</v>
      </c>
      <c r="I10" s="3">
        <v>2.2700000000000001E-2</v>
      </c>
      <c r="J10" s="7">
        <f>Tableau1[[#This Row],[Masse before losses (g)]]-Tableau1[[#This Row],[Mass in EIME (g)]]</f>
        <v>5.8821639999999995</v>
      </c>
      <c r="K10" s="4"/>
    </row>
    <row r="11" spans="1:11" x14ac:dyDescent="0.3">
      <c r="A11" t="s">
        <v>12</v>
      </c>
      <c r="B11">
        <v>0.12</v>
      </c>
      <c r="C11">
        <v>0.01</v>
      </c>
      <c r="D11">
        <v>1196</v>
      </c>
      <c r="F11" s="10">
        <f>Tableau1[[#This Row],[Concentration (g.T-1)]]/1000000*$B$25</f>
        <v>1.087164</v>
      </c>
      <c r="G11" s="10"/>
      <c r="H11" s="10">
        <f>Tableau1[[#This Row],[Mass within the product (g)]]*(1+Tableau1[[#This Row],[Losses (%)]])</f>
        <v>1.087164</v>
      </c>
      <c r="I11" s="5">
        <f>0.00719+0.000221</f>
        <v>7.4110000000000001E-3</v>
      </c>
      <c r="J11" s="7">
        <f>Tableau1[[#This Row],[Masse before losses (g)]]-Tableau1[[#This Row],[Mass in EIME (g)]]</f>
        <v>1.079753</v>
      </c>
      <c r="K11" s="6"/>
    </row>
    <row r="12" spans="1:11" x14ac:dyDescent="0.3">
      <c r="A12" t="s">
        <v>13</v>
      </c>
      <c r="B12">
        <v>0.03</v>
      </c>
      <c r="C12">
        <v>0</v>
      </c>
      <c r="D12">
        <v>281</v>
      </c>
      <c r="F12" s="10">
        <f>Tableau1[[#This Row],[Concentration (g.T-1)]]/1000000*$B$25</f>
        <v>0.25542900000000002</v>
      </c>
      <c r="G12" s="10"/>
      <c r="H12" s="10">
        <f>Tableau1[[#This Row],[Mass within the product (g)]]*(1+Tableau1[[#This Row],[Losses (%)]])</f>
        <v>0.25542900000000002</v>
      </c>
      <c r="I12" s="3">
        <v>0</v>
      </c>
      <c r="J12" s="7">
        <f>Tableau1[[#This Row],[Masse before losses (g)]]-Tableau1[[#This Row],[Mass in EIME (g)]]</f>
        <v>0.25542900000000002</v>
      </c>
      <c r="K12" s="4"/>
    </row>
    <row r="13" spans="1:11" x14ac:dyDescent="0.3">
      <c r="A13" t="s">
        <v>14</v>
      </c>
      <c r="B13">
        <v>0.85</v>
      </c>
      <c r="C13">
        <v>0.11</v>
      </c>
      <c r="D13">
        <v>8466</v>
      </c>
      <c r="F13" s="10">
        <f>Tableau1[[#This Row],[Concentration (g.T-1)]]/1000000*$B$25</f>
        <v>7.6955939999999998</v>
      </c>
      <c r="G13" s="10"/>
      <c r="H13" s="10">
        <f>Tableau1[[#This Row],[Mass within the product (g)]]*(1+Tableau1[[#This Row],[Losses (%)]])</f>
        <v>7.6955939999999998</v>
      </c>
      <c r="I13" s="5">
        <v>0</v>
      </c>
      <c r="J13" s="7">
        <f>Tableau1[[#This Row],[Masse before losses (g)]]-Tableau1[[#This Row],[Mass in EIME (g)]]</f>
        <v>7.6955939999999998</v>
      </c>
      <c r="K13" s="6"/>
    </row>
    <row r="14" spans="1:11" x14ac:dyDescent="0.3">
      <c r="A14" t="s">
        <v>15</v>
      </c>
      <c r="B14">
        <v>0.08</v>
      </c>
      <c r="C14">
        <v>0.02</v>
      </c>
      <c r="D14">
        <v>760</v>
      </c>
      <c r="F14" s="10">
        <f>Tableau1[[#This Row],[Concentration (g.T-1)]]/1000000*$B$25</f>
        <v>0.69084000000000001</v>
      </c>
      <c r="G14" s="10"/>
      <c r="H14" s="10">
        <f>Tableau1[[#This Row],[Mass within the product (g)]]*(1+Tableau1[[#This Row],[Losses (%)]])</f>
        <v>0.69084000000000001</v>
      </c>
      <c r="I14" s="3">
        <v>2.14</v>
      </c>
      <c r="J14" s="7">
        <f>Tableau1[[#This Row],[Masse before losses (g)]]-Tableau1[[#This Row],[Mass in EIME (g)]]</f>
        <v>-1.44916</v>
      </c>
      <c r="K14" s="4"/>
    </row>
    <row r="15" spans="1:11" x14ac:dyDescent="0.3">
      <c r="A15" t="s">
        <v>31</v>
      </c>
      <c r="B15">
        <v>2.94</v>
      </c>
      <c r="C15">
        <v>0.16</v>
      </c>
      <c r="D15">
        <v>29402</v>
      </c>
      <c r="F15" s="10">
        <f>Tableau1[[#This Row],[Concentration (g.T-1)]]/1000000*$B$25</f>
        <v>26.726418000000002</v>
      </c>
      <c r="G15" s="10"/>
      <c r="H15" s="10">
        <f>Tableau1[[#This Row],[Mass within the product (g)]]*(1+Tableau1[[#This Row],[Losses (%)]])</f>
        <v>26.726418000000002</v>
      </c>
      <c r="I15" s="5">
        <v>1.24</v>
      </c>
      <c r="J15" s="7">
        <f>Tableau1[[#This Row],[Masse before losses (g)]]-Tableau1[[#This Row],[Mass in EIME (g)]]</f>
        <v>25.486418000000004</v>
      </c>
      <c r="K15" s="6"/>
    </row>
    <row r="16" spans="1:11" x14ac:dyDescent="0.3">
      <c r="A16" t="s">
        <v>16</v>
      </c>
      <c r="B16">
        <v>2.1800000000000002</v>
      </c>
      <c r="C16">
        <v>7.0000000000000007E-2</v>
      </c>
      <c r="D16">
        <v>21843</v>
      </c>
      <c r="F16" s="10">
        <f>Tableau1[[#This Row],[Concentration (g.T-1)]]/1000000*$B$25</f>
        <v>19.855287000000001</v>
      </c>
      <c r="G16" s="10"/>
      <c r="H16" s="10">
        <f>Tableau1[[#This Row],[Mass within the product (g)]]*(1+Tableau1[[#This Row],[Losses (%)]])</f>
        <v>19.855287000000001</v>
      </c>
      <c r="I16" s="3">
        <v>2.66</v>
      </c>
      <c r="J16" s="7">
        <f>Tableau1[[#This Row],[Masse before losses (g)]]-Tableau1[[#This Row],[Mass in EIME (g)]]</f>
        <v>17.195287</v>
      </c>
      <c r="K16" s="4"/>
    </row>
    <row r="17" spans="1:11" x14ac:dyDescent="0.3">
      <c r="A17" t="s">
        <v>32</v>
      </c>
      <c r="B17">
        <v>0</v>
      </c>
      <c r="C17">
        <v>0</v>
      </c>
      <c r="D17">
        <v>8</v>
      </c>
      <c r="F17" s="10">
        <f>Tableau1[[#This Row],[Concentration (g.T-1)]]/1000000*$B$25</f>
        <v>7.2719999999999998E-3</v>
      </c>
      <c r="G17" s="10"/>
      <c r="H17" s="10">
        <f>Tableau1[[#This Row],[Mass within the product (g)]]*(1+Tableau1[[#This Row],[Losses (%)]])</f>
        <v>7.2719999999999998E-3</v>
      </c>
      <c r="I17" s="5">
        <v>0</v>
      </c>
      <c r="J17" s="7">
        <f>Tableau1[[#This Row],[Masse before losses (g)]]-Tableau1[[#This Row],[Mass in EIME (g)]]</f>
        <v>7.2719999999999998E-3</v>
      </c>
      <c r="K17" s="6"/>
    </row>
    <row r="18" spans="1:11" x14ac:dyDescent="0.3">
      <c r="A18" t="s">
        <v>17</v>
      </c>
      <c r="B18">
        <v>0.14000000000000001</v>
      </c>
      <c r="C18">
        <v>0.01</v>
      </c>
      <c r="D18">
        <v>1356</v>
      </c>
      <c r="F18" s="10">
        <f>Tableau1[[#This Row],[Concentration (g.T-1)]]/1000000*$B$25</f>
        <v>1.232604</v>
      </c>
      <c r="G18" s="10"/>
      <c r="H18" s="10">
        <f>Tableau1[[#This Row],[Mass within the product (g)]]*(1+Tableau1[[#This Row],[Losses (%)]])</f>
        <v>1.232604</v>
      </c>
      <c r="I18" s="3">
        <f>0.22+0.0643</f>
        <v>0.2843</v>
      </c>
      <c r="J18" s="7">
        <f>Tableau1[[#This Row],[Masse before losses (g)]]-Tableau1[[#This Row],[Mass in EIME (g)]]</f>
        <v>0.94830400000000004</v>
      </c>
      <c r="K18" s="4"/>
    </row>
    <row r="19" spans="1:11" x14ac:dyDescent="0.3">
      <c r="A19" t="s">
        <v>18</v>
      </c>
      <c r="B19">
        <v>0</v>
      </c>
      <c r="C19">
        <v>0</v>
      </c>
      <c r="D19">
        <v>8</v>
      </c>
      <c r="F19" s="10">
        <f>Tableau1[[#This Row],[Concentration (g.T-1)]]/1000000*$B$25</f>
        <v>7.2719999999999998E-3</v>
      </c>
      <c r="G19" s="10"/>
      <c r="H19" s="10">
        <f>Tableau1[[#This Row],[Mass within the product (g)]]*(1+Tableau1[[#This Row],[Losses (%)]])</f>
        <v>7.2719999999999998E-3</v>
      </c>
      <c r="I19" s="5">
        <v>0</v>
      </c>
      <c r="J19" s="7">
        <f>Tableau1[[#This Row],[Masse before losses (g)]]-Tableau1[[#This Row],[Mass in EIME (g)]]</f>
        <v>7.2719999999999998E-3</v>
      </c>
      <c r="K19" s="6"/>
    </row>
    <row r="20" spans="1:11" x14ac:dyDescent="0.3">
      <c r="A20" t="s">
        <v>33</v>
      </c>
      <c r="B20">
        <v>0.02</v>
      </c>
      <c r="C20">
        <v>0</v>
      </c>
      <c r="D20">
        <v>150</v>
      </c>
      <c r="F20" s="10">
        <f>Tableau1[[#This Row],[Concentration (g.T-1)]]/1000000*$B$25</f>
        <v>0.13635</v>
      </c>
      <c r="G20" s="10"/>
      <c r="H20" s="10">
        <f>Tableau1[[#This Row],[Mass within the product (g)]]*(1+Tableau1[[#This Row],[Losses (%)]])</f>
        <v>0.13635</v>
      </c>
      <c r="I20" s="3">
        <v>0</v>
      </c>
      <c r="J20" s="7">
        <f>Tableau1[[#This Row],[Masse before losses (g)]]-Tableau1[[#This Row],[Mass in EIME (g)]]</f>
        <v>0.13635</v>
      </c>
      <c r="K20" s="4"/>
    </row>
    <row r="21" spans="1:11" x14ac:dyDescent="0.3">
      <c r="A21" t="s">
        <v>19</v>
      </c>
      <c r="B21">
        <v>0.23</v>
      </c>
      <c r="C21">
        <v>0</v>
      </c>
      <c r="D21">
        <v>2341</v>
      </c>
      <c r="F21" s="10">
        <f>Tableau1[[#This Row],[Concentration (g.T-1)]]/1000000*$B$25</f>
        <v>2.1279690000000002</v>
      </c>
      <c r="G21" s="10"/>
      <c r="H21" s="10">
        <f>Tableau1[[#This Row],[Mass within the product (g)]]*(1+Tableau1[[#This Row],[Losses (%)]])</f>
        <v>2.1279690000000002</v>
      </c>
      <c r="I21" s="5">
        <v>3.5599999999999998E-3</v>
      </c>
      <c r="J21" s="7">
        <f>Tableau1[[#This Row],[Masse before losses (g)]]-Tableau1[[#This Row],[Mass in EIME (g)]]</f>
        <v>2.1244090000000004</v>
      </c>
      <c r="K21" s="6"/>
    </row>
    <row r="22" spans="1:11" x14ac:dyDescent="0.3">
      <c r="A22" t="s">
        <v>20</v>
      </c>
      <c r="C22">
        <v>6.97</v>
      </c>
      <c r="D22">
        <v>69742</v>
      </c>
      <c r="F22" s="10">
        <f>Tableau1[[#This Row],[Concentration (g.T-1)]]/1000000*$B$25</f>
        <v>63.395477999999997</v>
      </c>
      <c r="G22" s="10"/>
      <c r="H22" s="10">
        <f>Tableau1[[#This Row],[Mass within the product (g)]]*(1+Tableau1[[#This Row],[Losses (%)]])</f>
        <v>63.395477999999997</v>
      </c>
      <c r="I22" s="3"/>
      <c r="J22" s="7">
        <f>Tableau1[[#This Row],[Masse before losses (g)]]-Tableau1[[#This Row],[Mass in EIME (g)]]</f>
        <v>63.395477999999997</v>
      </c>
      <c r="K22" s="4"/>
    </row>
    <row r="23" spans="1:11" x14ac:dyDescent="0.3">
      <c r="A23" t="s">
        <v>21</v>
      </c>
      <c r="B23">
        <v>1.01</v>
      </c>
      <c r="C23">
        <v>0</v>
      </c>
      <c r="D23">
        <v>10064</v>
      </c>
      <c r="F23" s="10">
        <f>Tableau1[[#This Row],[Concentration (g.T-1)]]/1000000*$B$25</f>
        <v>9.1481759999999994</v>
      </c>
      <c r="G23" s="10"/>
      <c r="H23" s="10">
        <f>Tableau1[[#This Row],[Mass within the product (g)]]*(1+Tableau1[[#This Row],[Losses (%)]])</f>
        <v>9.1481759999999994</v>
      </c>
      <c r="I23" s="5"/>
      <c r="J23" s="7">
        <f>Tableau1[[#This Row],[Masse before losses (g)]]-Tableau1[[#This Row],[Mass in EIME (g)]]</f>
        <v>9.1481759999999994</v>
      </c>
      <c r="K23" s="6"/>
    </row>
    <row r="24" spans="1:11" x14ac:dyDescent="0.3">
      <c r="F24" s="10"/>
      <c r="G24" s="10"/>
      <c r="H24" s="10"/>
      <c r="J24" s="8"/>
    </row>
    <row r="25" spans="1:11" x14ac:dyDescent="0.3">
      <c r="A25" t="s">
        <v>23</v>
      </c>
      <c r="B25">
        <v>909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6E165-3BB7-436C-B1C4-35E44B616179}">
  <dimension ref="A1:K25"/>
  <sheetViews>
    <sheetView showGridLines="0" workbookViewId="0">
      <selection activeCell="J1" sqref="A1:J1048576"/>
    </sheetView>
  </sheetViews>
  <sheetFormatPr baseColWidth="10" defaultRowHeight="14.4" x14ac:dyDescent="0.3"/>
  <cols>
    <col min="1" max="1" width="20.21875" bestFit="1" customWidth="1"/>
    <col min="2" max="2" width="14.88671875" customWidth="1"/>
    <col min="3" max="3" width="10.77734375" customWidth="1"/>
    <col min="4" max="4" width="15.21875" customWidth="1"/>
    <col min="5" max="5" width="27" customWidth="1"/>
    <col min="6" max="6" width="25.109375" customWidth="1"/>
    <col min="7" max="7" width="12.109375" customWidth="1"/>
    <col min="8" max="8" width="21.88671875" customWidth="1"/>
    <col min="9" max="9" width="11.5546875" customWidth="1"/>
  </cols>
  <sheetData>
    <row r="1" spans="1:11" x14ac:dyDescent="0.3">
      <c r="A1" t="s">
        <v>25</v>
      </c>
      <c r="B1" t="s">
        <v>26</v>
      </c>
      <c r="C1" t="s">
        <v>0</v>
      </c>
      <c r="D1" t="s">
        <v>27</v>
      </c>
      <c r="E1" t="s">
        <v>22</v>
      </c>
      <c r="F1" t="s">
        <v>28</v>
      </c>
      <c r="G1" t="s">
        <v>29</v>
      </c>
      <c r="H1" t="s">
        <v>30</v>
      </c>
      <c r="I1" s="1" t="s">
        <v>34</v>
      </c>
      <c r="J1" s="1" t="s">
        <v>35</v>
      </c>
      <c r="K1" s="2" t="s">
        <v>36</v>
      </c>
    </row>
    <row r="2" spans="1:11" x14ac:dyDescent="0.3">
      <c r="A2" t="s">
        <v>1</v>
      </c>
      <c r="B2">
        <v>0.18</v>
      </c>
      <c r="C2">
        <v>0.01</v>
      </c>
      <c r="D2">
        <v>1799</v>
      </c>
      <c r="E2" s="10"/>
      <c r="F2" s="10">
        <f>Tableau13[[#This Row],[Concentration (g.T-1)]]/1000000*$B$25</f>
        <v>0.58737349999999999</v>
      </c>
      <c r="G2" s="10"/>
      <c r="H2" s="10">
        <f>Tableau13[[#This Row],[Mass within the product (g)]]*(1+Tableau13[[#This Row],[Losses (%)]])</f>
        <v>0.58737349999999999</v>
      </c>
      <c r="I2" s="3">
        <f t="shared" ref="I2:I23" si="0">0.494+0.224</f>
        <v>0.71799999999999997</v>
      </c>
      <c r="J2" s="7">
        <f>Tableau13[[#This Row],[Masse before losses (g)]]-Tableau13[[#This Row],[Mass in EIME (g)]]</f>
        <v>-0.13062649999999998</v>
      </c>
      <c r="K2" s="4"/>
    </row>
    <row r="3" spans="1:11" x14ac:dyDescent="0.3">
      <c r="A3" t="s">
        <v>2</v>
      </c>
      <c r="B3">
        <v>1.1000000000000001</v>
      </c>
      <c r="C3">
        <v>0.04</v>
      </c>
      <c r="D3">
        <v>10968</v>
      </c>
      <c r="E3" s="10"/>
      <c r="F3" s="10">
        <f>Tableau13[[#This Row],[Concentration (g.T-1)]]/1000000*$B$25</f>
        <v>3.5810520000000001</v>
      </c>
      <c r="G3" s="10"/>
      <c r="H3" s="10">
        <f>Tableau13[[#This Row],[Mass within the product (g)]]*(1+Tableau13[[#This Row],[Losses (%)]])</f>
        <v>3.5810520000000001</v>
      </c>
      <c r="I3" s="5">
        <f>0.0101+1.43</f>
        <v>1.4400999999999999</v>
      </c>
      <c r="J3" s="7">
        <f>Tableau13[[#This Row],[Masse before losses (g)]]-Tableau13[[#This Row],[Mass in EIME (g)]]</f>
        <v>2.1409520000000004</v>
      </c>
      <c r="K3" s="6"/>
    </row>
    <row r="4" spans="1:11" x14ac:dyDescent="0.3">
      <c r="A4" t="s">
        <v>3</v>
      </c>
      <c r="B4">
        <v>0.03</v>
      </c>
      <c r="C4">
        <v>0</v>
      </c>
      <c r="D4">
        <v>265</v>
      </c>
      <c r="E4" s="10"/>
      <c r="F4" s="10">
        <f>Tableau13[[#This Row],[Concentration (g.T-1)]]/1000000*$B$25</f>
        <v>8.6522500000000002E-2</v>
      </c>
      <c r="G4" s="10"/>
      <c r="H4" s="10">
        <f>Tableau13[[#This Row],[Mass within the product (g)]]*(1+Tableau13[[#This Row],[Losses (%)]])</f>
        <v>8.6522500000000002E-2</v>
      </c>
      <c r="I4" s="3">
        <f>0.569</f>
        <v>0.56899999999999995</v>
      </c>
      <c r="J4" s="7">
        <f>Tableau13[[#This Row],[Masse before losses (g)]]-Tableau13[[#This Row],[Mass in EIME (g)]]</f>
        <v>-0.48247749999999995</v>
      </c>
      <c r="K4" s="4"/>
    </row>
    <row r="5" spans="1:11" x14ac:dyDescent="0.3">
      <c r="A5" t="s">
        <v>4</v>
      </c>
      <c r="B5">
        <v>0.57999999999999996</v>
      </c>
      <c r="C5">
        <v>0</v>
      </c>
      <c r="D5">
        <v>5845</v>
      </c>
      <c r="E5" s="10"/>
      <c r="F5" s="10">
        <f>Tableau13[[#This Row],[Concentration (g.T-1)]]/1000000*$B$25</f>
        <v>1.9083925000000002</v>
      </c>
      <c r="G5" s="10"/>
      <c r="H5" s="10">
        <f>Tableau13[[#This Row],[Mass within the product (g)]]*(1+Tableau13[[#This Row],[Losses (%)]])</f>
        <v>1.9083925000000002</v>
      </c>
      <c r="I5" s="5">
        <v>0</v>
      </c>
      <c r="J5" s="7">
        <f>Tableau13[[#This Row],[Masse before losses (g)]]-Tableau13[[#This Row],[Mass in EIME (g)]]</f>
        <v>1.9083925000000002</v>
      </c>
      <c r="K5" s="6"/>
    </row>
    <row r="6" spans="1:11" x14ac:dyDescent="0.3">
      <c r="A6" t="s">
        <v>5</v>
      </c>
      <c r="B6">
        <v>2.56</v>
      </c>
      <c r="C6">
        <v>0.04</v>
      </c>
      <c r="D6">
        <v>25584</v>
      </c>
      <c r="E6" s="10"/>
      <c r="F6" s="10">
        <f>Tableau13[[#This Row],[Concentration (g.T-1)]]/1000000*$B$25</f>
        <v>8.3531759999999995</v>
      </c>
      <c r="G6" s="10"/>
      <c r="H6" s="10">
        <f>Tableau13[[#This Row],[Mass within the product (g)]]*(1+Tableau13[[#This Row],[Losses (%)]])</f>
        <v>8.3531759999999995</v>
      </c>
      <c r="I6" s="3">
        <v>1.91</v>
      </c>
      <c r="J6" s="7">
        <f>Tableau13[[#This Row],[Masse before losses (g)]]-Tableau13[[#This Row],[Mass in EIME (g)]]</f>
        <v>6.4431759999999993</v>
      </c>
      <c r="K6" s="4"/>
    </row>
    <row r="7" spans="1:11" x14ac:dyDescent="0.3">
      <c r="A7" t="s">
        <v>6</v>
      </c>
      <c r="B7">
        <v>0.03</v>
      </c>
      <c r="C7">
        <v>0.01</v>
      </c>
      <c r="D7">
        <v>251</v>
      </c>
      <c r="E7" s="10"/>
      <c r="F7" s="10">
        <f>Tableau13[[#This Row],[Concentration (g.T-1)]]/1000000*$B$25</f>
        <v>8.1951499999999997E-2</v>
      </c>
      <c r="G7" s="10"/>
      <c r="H7" s="10">
        <f>Tableau13[[#This Row],[Mass within the product (g)]]*(1+Tableau13[[#This Row],[Losses (%)]])</f>
        <v>8.1951499999999997E-2</v>
      </c>
      <c r="I7" s="5">
        <v>0</v>
      </c>
      <c r="J7" s="7">
        <f>Tableau13[[#This Row],[Masse before losses (g)]]-Tableau13[[#This Row],[Mass in EIME (g)]]</f>
        <v>8.1951499999999997E-2</v>
      </c>
      <c r="K7" s="6"/>
    </row>
    <row r="8" spans="1:11" x14ac:dyDescent="0.3">
      <c r="A8" t="s">
        <v>7</v>
      </c>
      <c r="B8">
        <v>0.51</v>
      </c>
      <c r="C8">
        <v>0.01</v>
      </c>
      <c r="D8">
        <v>5091</v>
      </c>
      <c r="E8" s="10"/>
      <c r="F8" s="10">
        <f>Tableau13[[#This Row],[Concentration (g.T-1)]]/1000000*$B$25</f>
        <v>1.6622115</v>
      </c>
      <c r="G8" s="10"/>
      <c r="H8" s="10">
        <f>Tableau13[[#This Row],[Mass within the product (g)]]*(1+Tableau13[[#This Row],[Losses (%)]])</f>
        <v>1.6622115</v>
      </c>
      <c r="I8" s="3">
        <v>0</v>
      </c>
      <c r="J8" s="7">
        <f>Tableau13[[#This Row],[Masse before losses (g)]]-Tableau13[[#This Row],[Mass in EIME (g)]]</f>
        <v>1.6622115</v>
      </c>
      <c r="K8" s="4"/>
    </row>
    <row r="9" spans="1:11" x14ac:dyDescent="0.3">
      <c r="A9" t="s">
        <v>8</v>
      </c>
      <c r="B9">
        <v>0</v>
      </c>
      <c r="C9">
        <v>0</v>
      </c>
      <c r="D9">
        <v>49</v>
      </c>
      <c r="E9" s="10"/>
      <c r="F9" s="10">
        <f>Tableau13[[#This Row],[Concentration (g.T-1)]]/1000000*$B$25</f>
        <v>1.5998499999999999E-2</v>
      </c>
      <c r="G9" s="10"/>
      <c r="H9" s="10">
        <f>Tableau13[[#This Row],[Mass within the product (g)]]*(1+Tableau13[[#This Row],[Losses (%)]])</f>
        <v>1.5998499999999999E-2</v>
      </c>
      <c r="I9" s="5">
        <v>0</v>
      </c>
      <c r="J9" s="7">
        <f>Tableau13[[#This Row],[Masse before losses (g)]]-Tableau13[[#This Row],[Mass in EIME (g)]]</f>
        <v>1.5998499999999999E-2</v>
      </c>
      <c r="K9" s="6"/>
    </row>
    <row r="10" spans="1:11" x14ac:dyDescent="0.3">
      <c r="A10" t="s">
        <v>9</v>
      </c>
      <c r="B10">
        <v>0.47</v>
      </c>
      <c r="C10">
        <v>0.1</v>
      </c>
      <c r="D10">
        <v>4710</v>
      </c>
      <c r="E10" s="10"/>
      <c r="F10" s="10">
        <f>Tableau13[[#This Row],[Concentration (g.T-1)]]/1000000*$B$25</f>
        <v>1.5378149999999999</v>
      </c>
      <c r="G10" s="10"/>
      <c r="H10" s="10">
        <f>Tableau13[[#This Row],[Mass within the product (g)]]*(1+Tableau13[[#This Row],[Losses (%)]])</f>
        <v>1.5378149999999999</v>
      </c>
      <c r="I10" s="3">
        <v>9.3200000000000002E-5</v>
      </c>
      <c r="J10" s="7">
        <f>Tableau13[[#This Row],[Masse before losses (g)]]-Tableau13[[#This Row],[Mass in EIME (g)]]</f>
        <v>1.5377217999999999</v>
      </c>
      <c r="K10" s="4"/>
    </row>
    <row r="11" spans="1:11" x14ac:dyDescent="0.3">
      <c r="A11" t="s">
        <v>10</v>
      </c>
      <c r="B11">
        <v>50.58</v>
      </c>
      <c r="C11">
        <v>0.22</v>
      </c>
      <c r="D11">
        <v>505822</v>
      </c>
      <c r="E11" s="10"/>
      <c r="F11" s="10">
        <f>Tableau13[[#This Row],[Concentration (g.T-1)]]/1000000*$B$25</f>
        <v>165.15088299999999</v>
      </c>
      <c r="G11" s="10"/>
      <c r="H11" s="10">
        <f>Tableau13[[#This Row],[Mass within the product (g)]]*(1+Tableau13[[#This Row],[Losses (%)]])</f>
        <v>165.15088299999999</v>
      </c>
      <c r="I11" s="5">
        <f>0.000779+30.8</f>
        <v>30.800779000000002</v>
      </c>
      <c r="J11" s="7">
        <f>Tableau13[[#This Row],[Masse before losses (g)]]-Tableau13[[#This Row],[Mass in EIME (g)]]</f>
        <v>134.35010399999999</v>
      </c>
      <c r="K11" s="6"/>
    </row>
    <row r="12" spans="1:11" x14ac:dyDescent="0.3">
      <c r="A12" t="s">
        <v>11</v>
      </c>
      <c r="B12">
        <v>21.94</v>
      </c>
      <c r="C12">
        <v>0.45</v>
      </c>
      <c r="D12">
        <v>219366</v>
      </c>
      <c r="E12" s="10"/>
      <c r="F12" s="10">
        <f>Tableau13[[#This Row],[Concentration (g.T-1)]]/1000000*$B$25</f>
        <v>71.622999000000007</v>
      </c>
      <c r="G12" s="10"/>
      <c r="H12" s="10">
        <f>Tableau13[[#This Row],[Mass within the product (g)]]*(1+Tableau13[[#This Row],[Losses (%)]])</f>
        <v>71.622999000000007</v>
      </c>
      <c r="I12" s="3">
        <v>2.63E-2</v>
      </c>
      <c r="J12" s="7">
        <f>Tableau13[[#This Row],[Masse before losses (g)]]-Tableau13[[#This Row],[Mass in EIME (g)]]</f>
        <v>71.596699000000001</v>
      </c>
      <c r="K12" s="4"/>
    </row>
    <row r="13" spans="1:11" x14ac:dyDescent="0.3">
      <c r="A13" t="s">
        <v>12</v>
      </c>
      <c r="B13">
        <v>0.13</v>
      </c>
      <c r="C13">
        <v>0</v>
      </c>
      <c r="D13">
        <v>1295</v>
      </c>
      <c r="E13" s="10"/>
      <c r="F13" s="10">
        <f>Tableau13[[#This Row],[Concentration (g.T-1)]]/1000000*$B$25</f>
        <v>0.42281749999999996</v>
      </c>
      <c r="G13" s="10"/>
      <c r="H13" s="10">
        <f>Tableau13[[#This Row],[Mass within the product (g)]]*(1+Tableau13[[#This Row],[Losses (%)]])</f>
        <v>0.42281749999999996</v>
      </c>
      <c r="I13" s="5">
        <f>0.00505+0.000861</f>
        <v>5.9109999999999996E-3</v>
      </c>
      <c r="J13" s="7">
        <f>Tableau13[[#This Row],[Masse before losses (g)]]-Tableau13[[#This Row],[Mass in EIME (g)]]</f>
        <v>0.41690649999999996</v>
      </c>
      <c r="K13" s="6"/>
    </row>
    <row r="14" spans="1:11" x14ac:dyDescent="0.3">
      <c r="A14" t="s">
        <v>13</v>
      </c>
      <c r="B14">
        <v>0.27</v>
      </c>
      <c r="C14">
        <v>0.01</v>
      </c>
      <c r="D14">
        <v>2678</v>
      </c>
      <c r="E14" s="10"/>
      <c r="F14" s="10">
        <f>Tableau13[[#This Row],[Concentration (g.T-1)]]/1000000*$B$25</f>
        <v>0.87436699999999989</v>
      </c>
      <c r="G14" s="10"/>
      <c r="H14" s="10">
        <f>Tableau13[[#This Row],[Mass within the product (g)]]*(1+Tableau13[[#This Row],[Losses (%)]])</f>
        <v>0.87436699999999989</v>
      </c>
      <c r="I14" s="3">
        <v>0</v>
      </c>
      <c r="J14" s="7">
        <f>Tableau13[[#This Row],[Masse before losses (g)]]-Tableau13[[#This Row],[Mass in EIME (g)]]</f>
        <v>0.87436699999999989</v>
      </c>
      <c r="K14" s="4"/>
    </row>
    <row r="15" spans="1:11" x14ac:dyDescent="0.3">
      <c r="A15" t="s">
        <v>14</v>
      </c>
      <c r="B15">
        <v>0.04</v>
      </c>
      <c r="C15">
        <v>0</v>
      </c>
      <c r="D15">
        <v>375</v>
      </c>
      <c r="E15" s="10"/>
      <c r="F15" s="10">
        <f>Tableau13[[#This Row],[Concentration (g.T-1)]]/1000000*$B$25</f>
        <v>0.1224375</v>
      </c>
      <c r="G15" s="10"/>
      <c r="H15" s="10">
        <f>Tableau13[[#This Row],[Mass within the product (g)]]*(1+Tableau13[[#This Row],[Losses (%)]])</f>
        <v>0.1224375</v>
      </c>
      <c r="I15" s="5">
        <f>19.7+8.33+1.52</f>
        <v>29.55</v>
      </c>
      <c r="J15" s="7">
        <f>Tableau13[[#This Row],[Masse before losses (g)]]-Tableau13[[#This Row],[Mass in EIME (g)]]</f>
        <v>-29.427562500000001</v>
      </c>
      <c r="K15" s="6"/>
    </row>
    <row r="16" spans="1:11" x14ac:dyDescent="0.3">
      <c r="A16" t="s">
        <v>15</v>
      </c>
      <c r="B16">
        <v>6.96</v>
      </c>
      <c r="C16">
        <v>0.14000000000000001</v>
      </c>
      <c r="D16">
        <v>69573</v>
      </c>
      <c r="E16" s="10"/>
      <c r="F16" s="10">
        <f>Tableau13[[#This Row],[Concentration (g.T-1)]]/1000000*$B$25</f>
        <v>22.715584499999999</v>
      </c>
      <c r="G16" s="10"/>
      <c r="H16" s="10">
        <f>Tableau13[[#This Row],[Mass within the product (g)]]*(1+Tableau13[[#This Row],[Losses (%)]])</f>
        <v>22.715584499999999</v>
      </c>
      <c r="I16" s="3">
        <v>0.81899999999999995</v>
      </c>
      <c r="J16" s="7">
        <f>Tableau13[[#This Row],[Masse before losses (g)]]-Tableau13[[#This Row],[Mass in EIME (g)]]</f>
        <v>21.896584499999999</v>
      </c>
      <c r="K16" s="4"/>
    </row>
    <row r="17" spans="1:11" x14ac:dyDescent="0.3">
      <c r="A17" t="s">
        <v>31</v>
      </c>
      <c r="B17">
        <v>1.49</v>
      </c>
      <c r="C17">
        <v>0.08</v>
      </c>
      <c r="D17">
        <v>14880</v>
      </c>
      <c r="E17" s="10"/>
      <c r="F17" s="10">
        <f>Tableau13[[#This Row],[Concentration (g.T-1)]]/1000000*$B$25</f>
        <v>4.85832</v>
      </c>
      <c r="G17" s="10"/>
      <c r="H17" s="10">
        <f>Tableau13[[#This Row],[Mass within the product (g)]]*(1+Tableau13[[#This Row],[Losses (%)]])</f>
        <v>4.85832</v>
      </c>
      <c r="I17" s="5">
        <f>3.58+2.49</f>
        <v>6.07</v>
      </c>
      <c r="J17" s="7">
        <f>Tableau13[[#This Row],[Masse before losses (g)]]-Tableau13[[#This Row],[Mass in EIME (g)]]</f>
        <v>-1.2116800000000003</v>
      </c>
      <c r="K17" s="6"/>
    </row>
    <row r="18" spans="1:11" x14ac:dyDescent="0.3">
      <c r="A18" t="s">
        <v>16</v>
      </c>
      <c r="B18">
        <v>1.9</v>
      </c>
      <c r="C18">
        <v>0.01</v>
      </c>
      <c r="D18">
        <v>18958</v>
      </c>
      <c r="E18" s="10"/>
      <c r="F18" s="10">
        <f>Tableau13[[#This Row],[Concentration (g.T-1)]]/1000000*$B$25</f>
        <v>6.1897869999999999</v>
      </c>
      <c r="G18" s="10"/>
      <c r="H18" s="10">
        <f>Tableau13[[#This Row],[Mass within the product (g)]]*(1+Tableau13[[#This Row],[Losses (%)]])</f>
        <v>6.1897869999999999</v>
      </c>
      <c r="I18" s="3">
        <v>4.16</v>
      </c>
      <c r="J18" s="7">
        <f>Tableau13[[#This Row],[Masse before losses (g)]]-Tableau13[[#This Row],[Mass in EIME (g)]]</f>
        <v>2.0297869999999998</v>
      </c>
      <c r="K18" s="4"/>
    </row>
    <row r="19" spans="1:11" x14ac:dyDescent="0.3">
      <c r="A19" t="s">
        <v>32</v>
      </c>
      <c r="B19">
        <v>0.37</v>
      </c>
      <c r="C19">
        <v>0.01</v>
      </c>
      <c r="D19">
        <v>3677</v>
      </c>
      <c r="E19" s="10"/>
      <c r="F19" s="10">
        <f>Tableau13[[#This Row],[Concentration (g.T-1)]]/1000000*$B$25</f>
        <v>1.2005405</v>
      </c>
      <c r="G19" s="10"/>
      <c r="H19" s="10">
        <f>Tableau13[[#This Row],[Mass within the product (g)]]*(1+Tableau13[[#This Row],[Losses (%)]])</f>
        <v>1.2005405</v>
      </c>
      <c r="I19" s="5">
        <v>0</v>
      </c>
      <c r="J19" s="7">
        <f>Tableau13[[#This Row],[Masse before losses (g)]]-Tableau13[[#This Row],[Mass in EIME (g)]]</f>
        <v>1.2005405</v>
      </c>
      <c r="K19" s="6"/>
    </row>
    <row r="20" spans="1:11" x14ac:dyDescent="0.3">
      <c r="A20" t="s">
        <v>17</v>
      </c>
      <c r="B20">
        <v>0.88</v>
      </c>
      <c r="C20">
        <v>0.01</v>
      </c>
      <c r="D20">
        <v>8823</v>
      </c>
      <c r="E20" s="10"/>
      <c r="F20" s="10">
        <f>Tableau13[[#This Row],[Concentration (g.T-1)]]/1000000*$B$25</f>
        <v>2.8807094999999996</v>
      </c>
      <c r="G20" s="10"/>
      <c r="H20" s="10">
        <f>Tableau13[[#This Row],[Mass within the product (g)]]*(1+Tableau13[[#This Row],[Losses (%)]])</f>
        <v>2.8807094999999996</v>
      </c>
      <c r="I20" s="3">
        <v>0.251</v>
      </c>
      <c r="J20" s="7">
        <f>Tableau13[[#This Row],[Masse before losses (g)]]-Tableau13[[#This Row],[Mass in EIME (g)]]</f>
        <v>2.6297094999999997</v>
      </c>
      <c r="K20" s="4"/>
    </row>
    <row r="21" spans="1:11" x14ac:dyDescent="0.3">
      <c r="A21" t="s">
        <v>19</v>
      </c>
      <c r="B21">
        <v>0.14000000000000001</v>
      </c>
      <c r="C21">
        <v>0</v>
      </c>
      <c r="D21">
        <v>1365</v>
      </c>
      <c r="E21" s="10"/>
      <c r="F21" s="10">
        <f>Tableau13[[#This Row],[Concentration (g.T-1)]]/1000000*$B$25</f>
        <v>0.44567249999999997</v>
      </c>
      <c r="G21" s="10"/>
      <c r="H21" s="10">
        <f>Tableau13[[#This Row],[Mass within the product (g)]]*(1+Tableau13[[#This Row],[Losses (%)]])</f>
        <v>0.44567249999999997</v>
      </c>
      <c r="I21" s="5">
        <v>6.5500000000000003E-2</v>
      </c>
      <c r="J21" s="7">
        <f>Tableau13[[#This Row],[Masse before losses (g)]]-Tableau13[[#This Row],[Mass in EIME (g)]]</f>
        <v>0.38017249999999997</v>
      </c>
      <c r="K21" s="6"/>
    </row>
    <row r="22" spans="1:11" x14ac:dyDescent="0.3">
      <c r="A22" t="s">
        <v>20</v>
      </c>
      <c r="C22">
        <v>6.83</v>
      </c>
      <c r="D22">
        <v>68278</v>
      </c>
      <c r="E22" s="10"/>
      <c r="F22" s="10">
        <f>Tableau13[[#This Row],[Concentration (g.T-1)]]/1000000*$B$25</f>
        <v>22.292767000000001</v>
      </c>
      <c r="G22" s="10"/>
      <c r="H22" s="10">
        <f>Tableau13[[#This Row],[Mass within the product (g)]]*(1+Tableau13[[#This Row],[Losses (%)]])</f>
        <v>22.292767000000001</v>
      </c>
      <c r="I22" s="3">
        <v>0</v>
      </c>
      <c r="J22" s="7">
        <f>Tableau13[[#This Row],[Masse before losses (g)]]-Tableau13[[#This Row],[Mass in EIME (g)]]</f>
        <v>22.292767000000001</v>
      </c>
      <c r="K22" s="4"/>
    </row>
    <row r="23" spans="1:11" x14ac:dyDescent="0.3">
      <c r="A23" t="s">
        <v>21</v>
      </c>
      <c r="B23">
        <v>2</v>
      </c>
      <c r="C23">
        <v>0</v>
      </c>
      <c r="D23">
        <v>19989</v>
      </c>
      <c r="E23" s="10"/>
      <c r="F23" s="10">
        <f>Tableau13[[#This Row],[Concentration (g.T-1)]]/1000000*$B$25</f>
        <v>6.5264084999999996</v>
      </c>
      <c r="G23" s="10"/>
      <c r="H23" s="10">
        <f>Tableau13[[#This Row],[Mass within the product (g)]]*(1+Tableau13[[#This Row],[Losses (%)]])</f>
        <v>6.5264084999999996</v>
      </c>
      <c r="I23" s="5">
        <v>0</v>
      </c>
      <c r="J23" s="7">
        <f>Tableau13[[#This Row],[Masse before losses (g)]]-Tableau13[[#This Row],[Mass in EIME (g)]]</f>
        <v>6.5264084999999996</v>
      </c>
      <c r="K23" s="6"/>
    </row>
    <row r="24" spans="1:11" x14ac:dyDescent="0.3">
      <c r="E24" s="10"/>
      <c r="F24" s="10"/>
      <c r="G24" s="10"/>
      <c r="H24" s="10"/>
      <c r="J24" s="8"/>
    </row>
    <row r="25" spans="1:11" x14ac:dyDescent="0.3">
      <c r="A25" t="s">
        <v>23</v>
      </c>
      <c r="B25">
        <v>326.5</v>
      </c>
      <c r="J25" s="8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9B439-4BC1-404D-8B60-19D4B2C754AB}">
  <dimension ref="A1:K26"/>
  <sheetViews>
    <sheetView showGridLines="0" workbookViewId="0">
      <selection activeCell="A15" sqref="A15"/>
    </sheetView>
  </sheetViews>
  <sheetFormatPr baseColWidth="10" defaultRowHeight="14.4" x14ac:dyDescent="0.3"/>
  <cols>
    <col min="1" max="1" width="20.21875" bestFit="1" customWidth="1"/>
    <col min="2" max="2" width="14.88671875" customWidth="1"/>
    <col min="3" max="3" width="10.77734375" customWidth="1"/>
    <col min="4" max="4" width="15.21875" customWidth="1"/>
    <col min="5" max="5" width="65.109375" customWidth="1"/>
    <col min="6" max="6" width="25.109375" customWidth="1"/>
    <col min="7" max="7" width="12.109375" customWidth="1"/>
    <col min="8" max="8" width="21.88671875" customWidth="1"/>
    <col min="9" max="9" width="11.5546875" customWidth="1"/>
  </cols>
  <sheetData>
    <row r="1" spans="1:11" x14ac:dyDescent="0.3">
      <c r="A1" t="s">
        <v>25</v>
      </c>
      <c r="B1" t="s">
        <v>26</v>
      </c>
      <c r="C1" t="s">
        <v>0</v>
      </c>
      <c r="D1" t="s">
        <v>27</v>
      </c>
      <c r="E1" t="s">
        <v>22</v>
      </c>
      <c r="F1" t="s">
        <v>28</v>
      </c>
      <c r="G1" t="s">
        <v>29</v>
      </c>
      <c r="H1" t="s">
        <v>30</v>
      </c>
      <c r="I1" s="1" t="s">
        <v>34</v>
      </c>
      <c r="J1" s="1" t="s">
        <v>35</v>
      </c>
      <c r="K1" s="2" t="s">
        <v>36</v>
      </c>
    </row>
    <row r="2" spans="1:11" x14ac:dyDescent="0.3">
      <c r="A2" t="s">
        <v>1</v>
      </c>
      <c r="B2">
        <v>0.13</v>
      </c>
      <c r="C2">
        <v>0.01</v>
      </c>
      <c r="D2">
        <v>1280</v>
      </c>
      <c r="E2" s="10"/>
      <c r="F2" s="10">
        <f>Tableau14[[#This Row],[Concentration (g.T-1)]]/1000000*$B$26</f>
        <v>0.17821875200000001</v>
      </c>
      <c r="G2" s="10"/>
      <c r="H2" s="10">
        <f>Tableau14[[#This Row],[Mass within the product (g)]]*(1+Tableau14[[#This Row],[Losses (%)]])</f>
        <v>0.17821875200000001</v>
      </c>
      <c r="I2" s="3">
        <v>0</v>
      </c>
      <c r="J2" s="7">
        <f>Tableau14[[#This Row],[Masse before losses (g)]]-Tableau14[[#This Row],[Mass in EIME (g)]]</f>
        <v>0.17821875200000001</v>
      </c>
      <c r="K2" s="4"/>
    </row>
    <row r="3" spans="1:11" x14ac:dyDescent="0.3">
      <c r="A3" t="s">
        <v>2</v>
      </c>
      <c r="B3">
        <v>0.28000000000000003</v>
      </c>
      <c r="C3">
        <v>0.06</v>
      </c>
      <c r="D3">
        <v>2765</v>
      </c>
      <c r="E3" s="10"/>
      <c r="F3" s="10">
        <f>Tableau14[[#This Row],[Concentration (g.T-1)]]/1000000*$B$26</f>
        <v>0.384980351</v>
      </c>
      <c r="G3" s="10"/>
      <c r="H3" s="10">
        <f>Tableau14[[#This Row],[Mass within the product (g)]]*(1+Tableau14[[#This Row],[Losses (%)]])</f>
        <v>0.384980351</v>
      </c>
      <c r="I3" s="5">
        <v>0</v>
      </c>
      <c r="J3" s="7">
        <f>Tableau14[[#This Row],[Masse before losses (g)]]-Tableau14[[#This Row],[Mass in EIME (g)]]</f>
        <v>0.384980351</v>
      </c>
      <c r="K3" s="6"/>
    </row>
    <row r="4" spans="1:11" x14ac:dyDescent="0.3">
      <c r="A4" t="s">
        <v>3</v>
      </c>
      <c r="B4">
        <v>0.02</v>
      </c>
      <c r="C4">
        <v>0</v>
      </c>
      <c r="D4">
        <v>200</v>
      </c>
      <c r="E4" s="10"/>
      <c r="F4" s="10">
        <f>Tableau14[[#This Row],[Concentration (g.T-1)]]/1000000*$B$26</f>
        <v>2.7846679999999999E-2</v>
      </c>
      <c r="G4" s="10"/>
      <c r="H4" s="10">
        <f>Tableau14[[#This Row],[Mass within the product (g)]]*(1+Tableau14[[#This Row],[Losses (%)]])</f>
        <v>2.7846679999999999E-2</v>
      </c>
      <c r="I4" s="3">
        <v>0</v>
      </c>
      <c r="J4" s="7">
        <f>Tableau14[[#This Row],[Masse before losses (g)]]-Tableau14[[#This Row],[Mass in EIME (g)]]</f>
        <v>2.7846679999999999E-2</v>
      </c>
      <c r="K4" s="4"/>
    </row>
    <row r="5" spans="1:11" x14ac:dyDescent="0.3">
      <c r="A5" t="s">
        <v>4</v>
      </c>
      <c r="B5">
        <v>0</v>
      </c>
      <c r="C5">
        <v>0</v>
      </c>
      <c r="D5">
        <v>16</v>
      </c>
      <c r="E5" s="10"/>
      <c r="F5" s="10">
        <f>Tableau14[[#This Row],[Concentration (g.T-1)]]/1000000*$B$26</f>
        <v>2.2277343999999996E-3</v>
      </c>
      <c r="G5" s="10"/>
      <c r="H5" s="10">
        <f>Tableau14[[#This Row],[Mass within the product (g)]]*(1+Tableau14[[#This Row],[Losses (%)]])</f>
        <v>2.2277343999999996E-3</v>
      </c>
      <c r="I5" s="5">
        <v>0</v>
      </c>
      <c r="J5" s="7">
        <f>Tableau14[[#This Row],[Masse before losses (g)]]-Tableau14[[#This Row],[Mass in EIME (g)]]</f>
        <v>2.2277343999999996E-3</v>
      </c>
      <c r="K5" s="6"/>
    </row>
    <row r="6" spans="1:11" x14ac:dyDescent="0.3">
      <c r="A6" t="s">
        <v>5</v>
      </c>
      <c r="B6">
        <v>0.06</v>
      </c>
      <c r="C6">
        <v>0.01</v>
      </c>
      <c r="D6">
        <v>643</v>
      </c>
      <c r="E6" s="10"/>
      <c r="F6" s="10">
        <f>Tableau14[[#This Row],[Concentration (g.T-1)]]/1000000*$B$26</f>
        <v>8.95270762E-2</v>
      </c>
      <c r="G6" s="10"/>
      <c r="H6" s="10">
        <f>Tableau14[[#This Row],[Mass within the product (g)]]*(1+Tableau14[[#This Row],[Losses (%)]])</f>
        <v>8.95270762E-2</v>
      </c>
      <c r="I6" s="3">
        <v>0</v>
      </c>
      <c r="J6" s="7">
        <f>Tableau14[[#This Row],[Masse before losses (g)]]-Tableau14[[#This Row],[Mass in EIME (g)]]</f>
        <v>8.95270762E-2</v>
      </c>
      <c r="K6" s="4"/>
    </row>
    <row r="7" spans="1:11" x14ac:dyDescent="0.3">
      <c r="A7" t="s">
        <v>6</v>
      </c>
      <c r="B7">
        <v>0.01</v>
      </c>
      <c r="C7">
        <v>0</v>
      </c>
      <c r="D7">
        <v>66</v>
      </c>
      <c r="E7" s="10"/>
      <c r="F7" s="10">
        <f>Tableau14[[#This Row],[Concentration (g.T-1)]]/1000000*$B$26</f>
        <v>9.1894044000000001E-3</v>
      </c>
      <c r="G7" s="10"/>
      <c r="H7" s="10">
        <f>Tableau14[[#This Row],[Mass within the product (g)]]*(1+Tableau14[[#This Row],[Losses (%)]])</f>
        <v>9.1894044000000001E-3</v>
      </c>
      <c r="I7" s="5">
        <v>0</v>
      </c>
      <c r="J7" s="7">
        <f>Tableau14[[#This Row],[Masse before losses (g)]]-Tableau14[[#This Row],[Mass in EIME (g)]]</f>
        <v>9.1894044000000001E-3</v>
      </c>
      <c r="K7" s="6"/>
    </row>
    <row r="8" spans="1:11" x14ac:dyDescent="0.3">
      <c r="A8" t="s">
        <v>7</v>
      </c>
      <c r="B8">
        <v>0.17</v>
      </c>
      <c r="C8">
        <v>0.01</v>
      </c>
      <c r="D8">
        <v>1731</v>
      </c>
      <c r="E8" s="10"/>
      <c r="F8" s="10">
        <f>Tableau14[[#This Row],[Concentration (g.T-1)]]/1000000*$B$26</f>
        <v>0.24101301539999997</v>
      </c>
      <c r="G8" s="10"/>
      <c r="H8" s="10">
        <f>Tableau14[[#This Row],[Mass within the product (g)]]*(1+Tableau14[[#This Row],[Losses (%)]])</f>
        <v>0.24101301539999997</v>
      </c>
      <c r="I8" s="3">
        <v>0</v>
      </c>
      <c r="J8" s="7">
        <f>Tableau14[[#This Row],[Masse before losses (g)]]-Tableau14[[#This Row],[Mass in EIME (g)]]</f>
        <v>0.24101301539999997</v>
      </c>
      <c r="K8" s="4"/>
    </row>
    <row r="9" spans="1:11" x14ac:dyDescent="0.3">
      <c r="A9" t="s">
        <v>8</v>
      </c>
      <c r="B9">
        <v>0</v>
      </c>
      <c r="C9">
        <v>0</v>
      </c>
      <c r="D9">
        <v>9</v>
      </c>
      <c r="E9" s="10"/>
      <c r="F9" s="10">
        <f>Tableau14[[#This Row],[Concentration (g.T-1)]]/1000000*$B$26</f>
        <v>1.2531006E-3</v>
      </c>
      <c r="G9" s="10"/>
      <c r="H9" s="10">
        <f>Tableau14[[#This Row],[Mass within the product (g)]]*(1+Tableau14[[#This Row],[Losses (%)]])</f>
        <v>1.2531006E-3</v>
      </c>
      <c r="I9" s="5">
        <v>0</v>
      </c>
      <c r="J9" s="7">
        <f>Tableau14[[#This Row],[Masse before losses (g)]]-Tableau14[[#This Row],[Mass in EIME (g)]]</f>
        <v>1.2531006E-3</v>
      </c>
      <c r="K9" s="6"/>
    </row>
    <row r="10" spans="1:11" x14ac:dyDescent="0.3">
      <c r="A10" t="s">
        <v>9</v>
      </c>
      <c r="B10">
        <v>0.01</v>
      </c>
      <c r="C10">
        <v>0</v>
      </c>
      <c r="D10">
        <v>60</v>
      </c>
      <c r="E10" s="10"/>
      <c r="F10" s="10">
        <f>Tableau14[[#This Row],[Concentration (g.T-1)]]/1000000*$B$26</f>
        <v>8.3540039999999999E-3</v>
      </c>
      <c r="G10" s="10"/>
      <c r="H10" s="10">
        <f>Tableau14[[#This Row],[Mass within the product (g)]]*(1+Tableau14[[#This Row],[Losses (%)]])</f>
        <v>8.3540039999999999E-3</v>
      </c>
      <c r="I10" s="3">
        <v>0</v>
      </c>
      <c r="J10" s="7">
        <f>Tableau14[[#This Row],[Masse before losses (g)]]-Tableau14[[#This Row],[Mass in EIME (g)]]</f>
        <v>8.3540039999999999E-3</v>
      </c>
      <c r="K10" s="4"/>
    </row>
    <row r="11" spans="1:11" x14ac:dyDescent="0.3">
      <c r="A11" t="s">
        <v>10</v>
      </c>
      <c r="B11">
        <v>78.17</v>
      </c>
      <c r="C11">
        <v>0.71</v>
      </c>
      <c r="D11">
        <v>781660</v>
      </c>
      <c r="E11" s="10"/>
      <c r="F11" s="10">
        <f>Tableau14[[#This Row],[Concentration (g.T-1)]]/1000000*$B$26</f>
        <v>108.833179444</v>
      </c>
      <c r="G11" s="10"/>
      <c r="H11" s="10">
        <f>Tableau14[[#This Row],[Mass within the product (g)]]*(1+Tableau14[[#This Row],[Losses (%)]])</f>
        <v>108.833179444</v>
      </c>
      <c r="I11" s="5">
        <v>0</v>
      </c>
      <c r="J11" s="7">
        <f>Tableau14[[#This Row],[Masse before losses (g)]]-Tableau14[[#This Row],[Mass in EIME (g)]]</f>
        <v>108.833179444</v>
      </c>
      <c r="K11" s="6"/>
    </row>
    <row r="12" spans="1:11" x14ac:dyDescent="0.3">
      <c r="A12" t="s">
        <v>11</v>
      </c>
      <c r="B12">
        <v>1.85</v>
      </c>
      <c r="C12">
        <v>0.71</v>
      </c>
      <c r="D12">
        <v>18518</v>
      </c>
      <c r="E12" s="10"/>
      <c r="F12" s="10">
        <f>Tableau14[[#This Row],[Concentration (g.T-1)]]/1000000*$B$26</f>
        <v>2.5783241011999998</v>
      </c>
      <c r="G12" s="10"/>
      <c r="H12" s="10">
        <f>Tableau14[[#This Row],[Mass within the product (g)]]*(1+Tableau14[[#This Row],[Losses (%)]])</f>
        <v>2.5783241011999998</v>
      </c>
      <c r="I12" s="3">
        <v>0</v>
      </c>
      <c r="J12" s="7">
        <f>Tableau14[[#This Row],[Masse before losses (g)]]-Tableau14[[#This Row],[Mass in EIME (g)]]</f>
        <v>2.5783241011999998</v>
      </c>
      <c r="K12" s="4"/>
    </row>
    <row r="13" spans="1:11" x14ac:dyDescent="0.3">
      <c r="A13" t="s">
        <v>12</v>
      </c>
      <c r="B13">
        <v>0.12</v>
      </c>
      <c r="C13">
        <v>0.02</v>
      </c>
      <c r="D13">
        <v>1165</v>
      </c>
      <c r="E13" s="10"/>
      <c r="F13" s="10">
        <f>Tableau14[[#This Row],[Concentration (g.T-1)]]/1000000*$B$26</f>
        <v>0.16220691099999998</v>
      </c>
      <c r="G13" s="10"/>
      <c r="H13" s="10">
        <f>Tableau14[[#This Row],[Mass within the product (g)]]*(1+Tableau14[[#This Row],[Losses (%)]])</f>
        <v>0.16220691099999998</v>
      </c>
      <c r="I13" s="5">
        <v>0</v>
      </c>
      <c r="J13" s="7">
        <f>Tableau14[[#This Row],[Masse before losses (g)]]-Tableau14[[#This Row],[Mass in EIME (g)]]</f>
        <v>0.16220691099999998</v>
      </c>
      <c r="K13" s="6"/>
    </row>
    <row r="14" spans="1:11" x14ac:dyDescent="0.3">
      <c r="A14" t="s">
        <v>13</v>
      </c>
      <c r="B14">
        <v>0.01</v>
      </c>
      <c r="C14">
        <v>0</v>
      </c>
      <c r="D14">
        <v>146</v>
      </c>
      <c r="E14" s="10"/>
      <c r="F14" s="10">
        <f>Tableau14[[#This Row],[Concentration (g.T-1)]]/1000000*$B$26</f>
        <v>2.0328076399999999E-2</v>
      </c>
      <c r="G14" s="10"/>
      <c r="H14" s="10">
        <f>Tableau14[[#This Row],[Mass within the product (g)]]*(1+Tableau14[[#This Row],[Losses (%)]])</f>
        <v>2.0328076399999999E-2</v>
      </c>
      <c r="I14" s="3">
        <v>0</v>
      </c>
      <c r="J14" s="7">
        <f>Tableau14[[#This Row],[Masse before losses (g)]]-Tableau14[[#This Row],[Mass in EIME (g)]]</f>
        <v>2.0328076399999999E-2</v>
      </c>
      <c r="K14" s="4"/>
    </row>
    <row r="15" spans="1:11" x14ac:dyDescent="0.3">
      <c r="A15" t="s">
        <v>14</v>
      </c>
      <c r="B15">
        <v>0.04</v>
      </c>
      <c r="C15">
        <v>0</v>
      </c>
      <c r="D15">
        <v>362</v>
      </c>
      <c r="E15" s="10"/>
      <c r="F15" s="10">
        <f>Tableau14[[#This Row],[Concentration (g.T-1)]]/1000000*$B$26</f>
        <v>5.0402490799999998E-2</v>
      </c>
      <c r="G15" s="10"/>
      <c r="H15" s="10">
        <f>Tableau14[[#This Row],[Mass within the product (g)]]*(1+Tableau14[[#This Row],[Losses (%)]])</f>
        <v>5.0402490799999998E-2</v>
      </c>
      <c r="I15" s="5">
        <v>0</v>
      </c>
      <c r="J15" s="7">
        <f>Tableau14[[#This Row],[Masse before losses (g)]]-Tableau14[[#This Row],[Mass in EIME (g)]]</f>
        <v>5.0402490799999998E-2</v>
      </c>
      <c r="K15" s="6"/>
    </row>
    <row r="16" spans="1:11" x14ac:dyDescent="0.3">
      <c r="A16" t="s">
        <v>15</v>
      </c>
      <c r="B16">
        <v>0.51</v>
      </c>
      <c r="C16">
        <v>0.03</v>
      </c>
      <c r="D16">
        <v>5148</v>
      </c>
      <c r="E16" s="10"/>
      <c r="F16" s="10">
        <f>Tableau14[[#This Row],[Concentration (g.T-1)]]/1000000*$B$26</f>
        <v>0.71677354319999986</v>
      </c>
      <c r="G16" s="10"/>
      <c r="H16" s="10">
        <f>Tableau14[[#This Row],[Mass within the product (g)]]*(1+Tableau14[[#This Row],[Losses (%)]])</f>
        <v>0.71677354319999986</v>
      </c>
      <c r="I16" s="3">
        <v>0</v>
      </c>
      <c r="J16" s="7">
        <f>Tableau14[[#This Row],[Masse before losses (g)]]-Tableau14[[#This Row],[Mass in EIME (g)]]</f>
        <v>0.71677354319999986</v>
      </c>
      <c r="K16" s="4"/>
    </row>
    <row r="17" spans="1:11" x14ac:dyDescent="0.3">
      <c r="A17" t="s">
        <v>31</v>
      </c>
      <c r="B17">
        <v>1.58</v>
      </c>
      <c r="C17">
        <v>0.13</v>
      </c>
      <c r="D17">
        <v>15768</v>
      </c>
      <c r="E17" s="10"/>
      <c r="F17" s="10">
        <f>Tableau14[[#This Row],[Concentration (g.T-1)]]/1000000*$B$26</f>
        <v>2.1954322511999997</v>
      </c>
      <c r="G17" s="10"/>
      <c r="H17" s="10">
        <f>Tableau14[[#This Row],[Mass within the product (g)]]*(1+Tableau14[[#This Row],[Losses (%)]])</f>
        <v>2.1954322511999997</v>
      </c>
      <c r="I17" s="5">
        <v>2.1954322511999997</v>
      </c>
      <c r="J17" s="7">
        <f>Tableau14[[#This Row],[Masse before losses (g)]]-Tableau14[[#This Row],[Mass in EIME (g)]]</f>
        <v>0</v>
      </c>
      <c r="K17" s="6"/>
    </row>
    <row r="18" spans="1:11" x14ac:dyDescent="0.3">
      <c r="A18" t="s">
        <v>16</v>
      </c>
      <c r="B18">
        <v>9.31</v>
      </c>
      <c r="C18">
        <v>1.59</v>
      </c>
      <c r="D18">
        <v>93109</v>
      </c>
      <c r="E18" s="10"/>
      <c r="F18" s="10">
        <f>Tableau14[[#This Row],[Concentration (g.T-1)]]/1000000*$B$26</f>
        <v>12.963882640599998</v>
      </c>
      <c r="G18" s="10"/>
      <c r="H18" s="10">
        <f>Tableau14[[#This Row],[Mass within the product (g)]]*(1+Tableau14[[#This Row],[Losses (%)]])</f>
        <v>12.963882640599998</v>
      </c>
      <c r="I18" s="3">
        <v>0</v>
      </c>
      <c r="J18" s="7">
        <f>Tableau14[[#This Row],[Masse before losses (g)]]-Tableau14[[#This Row],[Mass in EIME (g)]]</f>
        <v>12.963882640599998</v>
      </c>
      <c r="K18" s="4"/>
    </row>
    <row r="19" spans="1:11" x14ac:dyDescent="0.3">
      <c r="A19" t="s">
        <v>32</v>
      </c>
      <c r="B19">
        <v>0</v>
      </c>
      <c r="C19">
        <v>0</v>
      </c>
      <c r="D19">
        <v>38</v>
      </c>
      <c r="E19" s="10"/>
      <c r="F19" s="10">
        <f>Tableau14[[#This Row],[Concentration (g.T-1)]]/1000000*$B$26</f>
        <v>5.2908692000000002E-3</v>
      </c>
      <c r="G19" s="10"/>
      <c r="H19" s="10">
        <f>Tableau14[[#This Row],[Mass within the product (g)]]*(1+Tableau14[[#This Row],[Losses (%)]])</f>
        <v>5.2908692000000002E-3</v>
      </c>
      <c r="I19" s="5">
        <v>0</v>
      </c>
      <c r="J19" s="7">
        <f>Tableau14[[#This Row],[Masse before losses (g)]]-Tableau14[[#This Row],[Mass in EIME (g)]]</f>
        <v>5.2908692000000002E-3</v>
      </c>
      <c r="K19" s="6"/>
    </row>
    <row r="20" spans="1:11" x14ac:dyDescent="0.3">
      <c r="A20" t="s">
        <v>17</v>
      </c>
      <c r="B20">
        <v>0.02</v>
      </c>
      <c r="C20">
        <v>0</v>
      </c>
      <c r="D20">
        <v>159</v>
      </c>
      <c r="E20" s="10"/>
      <c r="F20" s="10">
        <f>Tableau14[[#This Row],[Concentration (g.T-1)]]/1000000*$B$26</f>
        <v>2.2138110599999997E-2</v>
      </c>
      <c r="G20" s="10"/>
      <c r="H20" s="10">
        <f>Tableau14[[#This Row],[Mass within the product (g)]]*(1+Tableau14[[#This Row],[Losses (%)]])</f>
        <v>2.2138110599999997E-2</v>
      </c>
      <c r="I20" s="3">
        <v>0</v>
      </c>
      <c r="J20" s="7">
        <f>Tableau14[[#This Row],[Masse before losses (g)]]-Tableau14[[#This Row],[Mass in EIME (g)]]</f>
        <v>2.2138110599999997E-2</v>
      </c>
      <c r="K20" s="4"/>
    </row>
    <row r="21" spans="1:11" x14ac:dyDescent="0.3">
      <c r="A21" t="s">
        <v>33</v>
      </c>
      <c r="B21">
        <v>0.01</v>
      </c>
      <c r="C21">
        <v>0</v>
      </c>
      <c r="D21">
        <v>65</v>
      </c>
      <c r="E21" s="10"/>
      <c r="F21" s="10">
        <f>Tableau14[[#This Row],[Concentration (g.T-1)]]/1000000*$B$26</f>
        <v>9.0501709999999992E-3</v>
      </c>
      <c r="G21" s="10"/>
      <c r="H21" s="10">
        <f>Tableau14[[#This Row],[Mass within the product (g)]]*(1+Tableau14[[#This Row],[Losses (%)]])</f>
        <v>9.0501709999999992E-3</v>
      </c>
      <c r="I21" s="5">
        <v>0</v>
      </c>
      <c r="J21" s="7">
        <f>Tableau14[[#This Row],[Masse before losses (g)]]-Tableau14[[#This Row],[Mass in EIME (g)]]</f>
        <v>9.0501709999999992E-3</v>
      </c>
      <c r="K21" s="6"/>
    </row>
    <row r="22" spans="1:11" x14ac:dyDescent="0.3">
      <c r="A22" t="s">
        <v>19</v>
      </c>
      <c r="B22">
        <v>0.14000000000000001</v>
      </c>
      <c r="C22">
        <v>0</v>
      </c>
      <c r="D22">
        <v>1435</v>
      </c>
      <c r="E22" s="10"/>
      <c r="F22" s="10">
        <f>Tableau14[[#This Row],[Concentration (g.T-1)]]/1000000*$B$26</f>
        <v>0.19979992899999999</v>
      </c>
      <c r="G22" s="10"/>
      <c r="H22" s="10">
        <f>Tableau14[[#This Row],[Mass within the product (g)]]*(1+Tableau14[[#This Row],[Losses (%)]])</f>
        <v>0.19979992899999999</v>
      </c>
      <c r="I22" s="3">
        <v>0</v>
      </c>
      <c r="J22" s="7">
        <f>Tableau14[[#This Row],[Masse before losses (g)]]-Tableau14[[#This Row],[Mass in EIME (g)]]</f>
        <v>0.19979992899999999</v>
      </c>
      <c r="K22" s="4"/>
    </row>
    <row r="23" spans="1:11" x14ac:dyDescent="0.3">
      <c r="A23" t="s">
        <v>20</v>
      </c>
      <c r="C23">
        <v>6.16</v>
      </c>
      <c r="D23">
        <v>61573</v>
      </c>
      <c r="E23" s="10"/>
      <c r="F23" s="10">
        <f>Tableau14[[#This Row],[Concentration (g.T-1)]]/1000000*$B$26</f>
        <v>8.5730181382000001</v>
      </c>
      <c r="G23" s="10"/>
      <c r="H23" s="10">
        <f>Tableau14[[#This Row],[Mass within the product (g)]]*(1+Tableau14[[#This Row],[Losses (%)]])</f>
        <v>8.5730181382000001</v>
      </c>
      <c r="I23" s="5">
        <v>0</v>
      </c>
      <c r="J23" s="7">
        <f>Tableau14[[#This Row],[Masse before losses (g)]]-Tableau14[[#This Row],[Mass in EIME (g)]]</f>
        <v>8.5730181382000001</v>
      </c>
      <c r="K23" s="6"/>
    </row>
    <row r="24" spans="1:11" x14ac:dyDescent="0.3">
      <c r="A24" t="s">
        <v>21</v>
      </c>
      <c r="B24">
        <v>1.17</v>
      </c>
      <c r="C24">
        <v>0</v>
      </c>
      <c r="D24">
        <v>11715</v>
      </c>
      <c r="E24" s="10"/>
      <c r="F24" s="10">
        <f>Tableau14[[#This Row],[Concentration (g.T-1)]]/1000000*$B$26</f>
        <v>1.6311192809999999</v>
      </c>
      <c r="G24" s="10"/>
      <c r="H24" s="10">
        <f>Tableau14[[#This Row],[Mass within the product (g)]]*(1+Tableau14[[#This Row],[Losses (%)]])</f>
        <v>1.6311192809999999</v>
      </c>
      <c r="I24" s="3">
        <v>0</v>
      </c>
      <c r="J24" s="7">
        <f>Tableau14[[#This Row],[Masse before losses (g)]]-Tableau14[[#This Row],[Mass in EIME (g)]]</f>
        <v>1.6311192809999999</v>
      </c>
      <c r="K24" s="4"/>
    </row>
    <row r="25" spans="1:11" x14ac:dyDescent="0.3">
      <c r="E25" s="10"/>
      <c r="F25" s="10"/>
      <c r="G25" s="10"/>
      <c r="H25" s="10"/>
      <c r="J25" s="8"/>
    </row>
    <row r="26" spans="1:11" x14ac:dyDescent="0.3">
      <c r="A26" t="s">
        <v>23</v>
      </c>
      <c r="B26">
        <v>139.23339999999999</v>
      </c>
      <c r="E26" s="10"/>
      <c r="F26" s="10"/>
      <c r="G26" s="10"/>
      <c r="H26" s="10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EC7CD-48EB-4E15-97D9-007DE9777384}">
  <dimension ref="A1:K27"/>
  <sheetViews>
    <sheetView showGridLines="0" workbookViewId="0">
      <selection activeCell="J1" sqref="A1:J1048576"/>
    </sheetView>
  </sheetViews>
  <sheetFormatPr baseColWidth="10" defaultRowHeight="14.4" x14ac:dyDescent="0.3"/>
  <cols>
    <col min="1" max="1" width="20.21875" bestFit="1" customWidth="1"/>
    <col min="2" max="2" width="14.88671875" customWidth="1"/>
    <col min="3" max="3" width="10.77734375" customWidth="1"/>
    <col min="4" max="4" width="15.21875" customWidth="1"/>
    <col min="5" max="5" width="65.109375" customWidth="1"/>
    <col min="6" max="6" width="25.109375" customWidth="1"/>
    <col min="7" max="7" width="12.109375" customWidth="1"/>
    <col min="8" max="8" width="21.88671875" customWidth="1"/>
    <col min="9" max="9" width="11.5546875" customWidth="1"/>
  </cols>
  <sheetData>
    <row r="1" spans="1:11" x14ac:dyDescent="0.3">
      <c r="A1" t="s">
        <v>25</v>
      </c>
      <c r="B1" t="s">
        <v>26</v>
      </c>
      <c r="C1" t="s">
        <v>0</v>
      </c>
      <c r="D1" t="s">
        <v>27</v>
      </c>
      <c r="E1" t="s">
        <v>22</v>
      </c>
      <c r="F1" t="s">
        <v>28</v>
      </c>
      <c r="G1" t="s">
        <v>29</v>
      </c>
      <c r="H1" t="s">
        <v>30</v>
      </c>
      <c r="I1" s="1" t="s">
        <v>34</v>
      </c>
      <c r="J1" s="1" t="s">
        <v>35</v>
      </c>
      <c r="K1" s="2" t="s">
        <v>36</v>
      </c>
    </row>
    <row r="2" spans="1:11" x14ac:dyDescent="0.3">
      <c r="A2" t="s">
        <v>1</v>
      </c>
      <c r="B2">
        <v>0.14000000000000001</v>
      </c>
      <c r="C2">
        <v>0.02</v>
      </c>
      <c r="D2">
        <v>1440</v>
      </c>
      <c r="F2" s="10">
        <f>Tableau15[[#This Row],[Concentration (g.T-1)]]/1000000*$B$26</f>
        <v>4.4817264000000002E-2</v>
      </c>
      <c r="G2" s="10"/>
      <c r="H2" s="11">
        <f>Tableau15[[#This Row],[Mass within the product (g)]]*(1+Tableau15[[#This Row],[Losses (%)]])</f>
        <v>4.4817264000000002E-2</v>
      </c>
      <c r="I2" s="7">
        <v>0</v>
      </c>
      <c r="J2" s="7">
        <f>Tableau15[[#This Row],[Masse before losses (g)]]-Tableau15[[#This Row],[Mass in EIME (g)]]</f>
        <v>4.4817264000000002E-2</v>
      </c>
      <c r="K2" s="9"/>
    </row>
    <row r="3" spans="1:11" x14ac:dyDescent="0.3">
      <c r="A3" t="s">
        <v>2</v>
      </c>
      <c r="B3">
        <v>1.38</v>
      </c>
      <c r="C3">
        <v>0.27</v>
      </c>
      <c r="D3">
        <v>13819</v>
      </c>
      <c r="F3" s="10">
        <f>Tableau15[[#This Row],[Concentration (g.T-1)]]/1000000*$B$26</f>
        <v>0.43009011889999998</v>
      </c>
      <c r="G3" s="10"/>
      <c r="H3" s="11">
        <f>Tableau15[[#This Row],[Mass within the product (g)]]*(1+Tableau15[[#This Row],[Losses (%)]])</f>
        <v>0.43009011889999998</v>
      </c>
      <c r="I3" s="7">
        <v>0</v>
      </c>
      <c r="J3" s="7">
        <f>Tableau15[[#This Row],[Masse before losses (g)]]-Tableau15[[#This Row],[Mass in EIME (g)]]</f>
        <v>0.43009011889999998</v>
      </c>
      <c r="K3" s="9"/>
    </row>
    <row r="4" spans="1:11" x14ac:dyDescent="0.3">
      <c r="A4" t="s">
        <v>3</v>
      </c>
      <c r="B4">
        <v>0.04</v>
      </c>
      <c r="C4">
        <v>0.01</v>
      </c>
      <c r="D4">
        <v>368</v>
      </c>
      <c r="F4" s="10">
        <f>Tableau15[[#This Row],[Concentration (g.T-1)]]/1000000*$B$26</f>
        <v>1.14533008E-2</v>
      </c>
      <c r="G4" s="10"/>
      <c r="H4" s="11">
        <f>Tableau15[[#This Row],[Mass within the product (g)]]*(1+Tableau15[[#This Row],[Losses (%)]])</f>
        <v>1.14533008E-2</v>
      </c>
      <c r="I4" s="7">
        <v>0</v>
      </c>
      <c r="J4" s="7">
        <f>Tableau15[[#This Row],[Masse before losses (g)]]-Tableau15[[#This Row],[Mass in EIME (g)]]</f>
        <v>1.14533008E-2</v>
      </c>
      <c r="K4" s="9"/>
    </row>
    <row r="5" spans="1:11" x14ac:dyDescent="0.3">
      <c r="A5" t="s">
        <v>4</v>
      </c>
      <c r="B5">
        <v>0.01</v>
      </c>
      <c r="C5">
        <v>0</v>
      </c>
      <c r="D5">
        <v>131</v>
      </c>
      <c r="F5" s="10">
        <f>Tableau15[[#This Row],[Concentration (g.T-1)]]/1000000*$B$26</f>
        <v>4.0771261000000008E-3</v>
      </c>
      <c r="G5" s="10"/>
      <c r="H5" s="11">
        <f>Tableau15[[#This Row],[Mass within the product (g)]]*(1+Tableau15[[#This Row],[Losses (%)]])</f>
        <v>4.0771261000000008E-3</v>
      </c>
      <c r="I5" s="7">
        <v>0</v>
      </c>
      <c r="J5" s="7">
        <f>Tableau15[[#This Row],[Masse before losses (g)]]-Tableau15[[#This Row],[Mass in EIME (g)]]</f>
        <v>4.0771261000000008E-3</v>
      </c>
      <c r="K5" s="9"/>
    </row>
    <row r="6" spans="1:11" x14ac:dyDescent="0.3">
      <c r="A6" t="s">
        <v>5</v>
      </c>
      <c r="B6">
        <v>0.25</v>
      </c>
      <c r="C6">
        <v>0.14000000000000001</v>
      </c>
      <c r="D6">
        <v>2541</v>
      </c>
      <c r="F6" s="10">
        <f>Tableau15[[#This Row],[Concentration (g.T-1)]]/1000000*$B$26</f>
        <v>7.9083797099999992E-2</v>
      </c>
      <c r="G6" s="10"/>
      <c r="H6" s="11">
        <f>Tableau15[[#This Row],[Mass within the product (g)]]*(1+Tableau15[[#This Row],[Losses (%)]])</f>
        <v>7.9083797099999992E-2</v>
      </c>
      <c r="I6" s="7">
        <v>0</v>
      </c>
      <c r="J6" s="7">
        <f>Tableau15[[#This Row],[Masse before losses (g)]]-Tableau15[[#This Row],[Mass in EIME (g)]]</f>
        <v>7.9083797099999992E-2</v>
      </c>
      <c r="K6" s="9"/>
    </row>
    <row r="7" spans="1:11" x14ac:dyDescent="0.3">
      <c r="A7" t="s">
        <v>6</v>
      </c>
      <c r="B7">
        <v>0.14000000000000001</v>
      </c>
      <c r="C7">
        <v>0.02</v>
      </c>
      <c r="D7">
        <v>1366</v>
      </c>
      <c r="F7" s="10">
        <f>Tableau15[[#This Row],[Concentration (g.T-1)]]/1000000*$B$26</f>
        <v>4.25141546E-2</v>
      </c>
      <c r="G7" s="10"/>
      <c r="H7" s="11">
        <f>Tableau15[[#This Row],[Mass within the product (g)]]*(1+Tableau15[[#This Row],[Losses (%)]])</f>
        <v>4.25141546E-2</v>
      </c>
      <c r="I7" s="7">
        <v>0</v>
      </c>
      <c r="J7" s="7">
        <f>Tableau15[[#This Row],[Masse before losses (g)]]-Tableau15[[#This Row],[Mass in EIME (g)]]</f>
        <v>4.25141546E-2</v>
      </c>
      <c r="K7" s="9"/>
    </row>
    <row r="8" spans="1:11" x14ac:dyDescent="0.3">
      <c r="A8" t="s">
        <v>7</v>
      </c>
      <c r="B8">
        <v>0.31</v>
      </c>
      <c r="C8">
        <v>0.03</v>
      </c>
      <c r="D8">
        <v>3133</v>
      </c>
      <c r="F8" s="10">
        <f>Tableau15[[#This Row],[Concentration (g.T-1)]]/1000000*$B$26</f>
        <v>9.7508672300000002E-2</v>
      </c>
      <c r="G8" s="10"/>
      <c r="H8" s="11">
        <f>Tableau15[[#This Row],[Mass within the product (g)]]*(1+Tableau15[[#This Row],[Losses (%)]])</f>
        <v>9.7508672300000002E-2</v>
      </c>
      <c r="I8" s="7">
        <v>0</v>
      </c>
      <c r="J8" s="7">
        <f>Tableau15[[#This Row],[Masse before losses (g)]]-Tableau15[[#This Row],[Mass in EIME (g)]]</f>
        <v>9.7508672300000002E-2</v>
      </c>
      <c r="K8" s="9"/>
    </row>
    <row r="9" spans="1:11" x14ac:dyDescent="0.3">
      <c r="A9" t="s">
        <v>8</v>
      </c>
      <c r="B9">
        <v>0.14000000000000001</v>
      </c>
      <c r="C9">
        <v>0.03</v>
      </c>
      <c r="D9">
        <v>1378</v>
      </c>
      <c r="F9" s="10">
        <f>Tableau15[[#This Row],[Concentration (g.T-1)]]/1000000*$B$26</f>
        <v>4.2887631800000006E-2</v>
      </c>
      <c r="G9" s="10"/>
      <c r="H9" s="11">
        <f>Tableau15[[#This Row],[Mass within the product (g)]]*(1+Tableau15[[#This Row],[Losses (%)]])</f>
        <v>4.2887631800000006E-2</v>
      </c>
      <c r="I9" s="7">
        <v>0</v>
      </c>
      <c r="J9" s="7">
        <f>Tableau15[[#This Row],[Masse before losses (g)]]-Tableau15[[#This Row],[Mass in EIME (g)]]</f>
        <v>4.2887631800000006E-2</v>
      </c>
      <c r="K9" s="9"/>
    </row>
    <row r="10" spans="1:11" x14ac:dyDescent="0.3">
      <c r="A10" t="s">
        <v>9</v>
      </c>
      <c r="B10">
        <v>8.59</v>
      </c>
      <c r="C10">
        <v>0.86</v>
      </c>
      <c r="D10">
        <v>85936</v>
      </c>
      <c r="F10" s="10">
        <f>Tableau15[[#This Row],[Concentration (g.T-1)]]/1000000*$B$26</f>
        <v>2.6745947216000001</v>
      </c>
      <c r="G10" s="10"/>
      <c r="H10" s="11">
        <f>Tableau15[[#This Row],[Mass within the product (g)]]*(1+Tableau15[[#This Row],[Losses (%)]])</f>
        <v>2.6745947216000001</v>
      </c>
      <c r="I10" s="7">
        <v>0</v>
      </c>
      <c r="J10" s="7">
        <f>Tableau15[[#This Row],[Masse before losses (g)]]-Tableau15[[#This Row],[Mass in EIME (g)]]</f>
        <v>2.6745947216000001</v>
      </c>
      <c r="K10" s="9"/>
    </row>
    <row r="11" spans="1:11" x14ac:dyDescent="0.3">
      <c r="A11" t="s">
        <v>10</v>
      </c>
      <c r="B11">
        <v>12.84</v>
      </c>
      <c r="C11">
        <v>0.6</v>
      </c>
      <c r="D11">
        <v>128413</v>
      </c>
      <c r="F11" s="10">
        <f>Tableau15[[#This Row],[Concentration (g.T-1)]]/1000000*$B$26</f>
        <v>3.9966106403000001</v>
      </c>
      <c r="G11" s="10"/>
      <c r="H11" s="11">
        <f>Tableau15[[#This Row],[Mass within the product (g)]]*(1+Tableau15[[#This Row],[Losses (%)]])</f>
        <v>3.9966106403000001</v>
      </c>
      <c r="I11" s="7">
        <v>0</v>
      </c>
      <c r="J11" s="7">
        <f>Tableau15[[#This Row],[Masse before losses (g)]]-Tableau15[[#This Row],[Mass in EIME (g)]]</f>
        <v>3.9966106403000001</v>
      </c>
      <c r="K11" s="9"/>
    </row>
    <row r="12" spans="1:11" x14ac:dyDescent="0.3">
      <c r="A12" t="s">
        <v>11</v>
      </c>
      <c r="B12">
        <v>45.13</v>
      </c>
      <c r="C12">
        <v>0.95</v>
      </c>
      <c r="D12">
        <v>451334</v>
      </c>
      <c r="F12" s="10">
        <f>Tableau15[[#This Row],[Concentration (g.T-1)]]/1000000*$B$26</f>
        <v>14.0469132154</v>
      </c>
      <c r="G12" s="10"/>
      <c r="H12" s="11">
        <f>Tableau15[[#This Row],[Mass within the product (g)]]*(1+Tableau15[[#This Row],[Losses (%)]])</f>
        <v>14.0469132154</v>
      </c>
      <c r="I12" s="7">
        <v>0</v>
      </c>
      <c r="J12" s="7">
        <f>Tableau15[[#This Row],[Masse before losses (g)]]-Tableau15[[#This Row],[Mass in EIME (g)]]</f>
        <v>14.0469132154</v>
      </c>
      <c r="K12" s="9"/>
    </row>
    <row r="13" spans="1:11" x14ac:dyDescent="0.3">
      <c r="A13" t="s">
        <v>12</v>
      </c>
      <c r="B13">
        <v>0.08</v>
      </c>
      <c r="C13">
        <v>0.02</v>
      </c>
      <c r="D13">
        <v>765</v>
      </c>
      <c r="F13" s="10">
        <f>Tableau15[[#This Row],[Concentration (g.T-1)]]/1000000*$B$26</f>
        <v>2.38091715E-2</v>
      </c>
      <c r="G13" s="10"/>
      <c r="H13" s="11">
        <f>Tableau15[[#This Row],[Mass within the product (g)]]*(1+Tableau15[[#This Row],[Losses (%)]])</f>
        <v>2.38091715E-2</v>
      </c>
      <c r="I13" s="7">
        <v>0</v>
      </c>
      <c r="J13" s="7">
        <f>Tableau15[[#This Row],[Masse before losses (g)]]-Tableau15[[#This Row],[Mass in EIME (g)]]</f>
        <v>2.38091715E-2</v>
      </c>
      <c r="K13" s="9"/>
    </row>
    <row r="14" spans="1:11" x14ac:dyDescent="0.3">
      <c r="A14" t="s">
        <v>13</v>
      </c>
      <c r="B14">
        <v>0.99</v>
      </c>
      <c r="C14">
        <v>0.28999999999999998</v>
      </c>
      <c r="D14">
        <v>9934</v>
      </c>
      <c r="F14" s="10">
        <f>Tableau15[[#This Row],[Concentration (g.T-1)]]/1000000*$B$26</f>
        <v>0.3091768754</v>
      </c>
      <c r="G14" s="10"/>
      <c r="H14" s="11">
        <f>Tableau15[[#This Row],[Mass within the product (g)]]*(1+Tableau15[[#This Row],[Losses (%)]])</f>
        <v>0.3091768754</v>
      </c>
      <c r="I14" s="7">
        <v>0</v>
      </c>
      <c r="J14" s="7">
        <f>Tableau15[[#This Row],[Masse before losses (g)]]-Tableau15[[#This Row],[Mass in EIME (g)]]</f>
        <v>0.3091768754</v>
      </c>
      <c r="K14" s="9"/>
    </row>
    <row r="15" spans="1:11" x14ac:dyDescent="0.3">
      <c r="A15" t="s">
        <v>14</v>
      </c>
      <c r="B15">
        <v>0.83</v>
      </c>
      <c r="C15">
        <v>0.13</v>
      </c>
      <c r="D15">
        <v>8275</v>
      </c>
      <c r="F15" s="10">
        <f>Tableau15[[#This Row],[Concentration (g.T-1)]]/1000000*$B$26</f>
        <v>0.2575436525</v>
      </c>
      <c r="G15" s="10"/>
      <c r="H15" s="11">
        <f>Tableau15[[#This Row],[Mass within the product (g)]]*(1+Tableau15[[#This Row],[Losses (%)]])</f>
        <v>0.2575436525</v>
      </c>
      <c r="I15" s="7">
        <v>0</v>
      </c>
      <c r="J15" s="7">
        <f>Tableau15[[#This Row],[Masse before losses (g)]]-Tableau15[[#This Row],[Mass in EIME (g)]]</f>
        <v>0.2575436525</v>
      </c>
      <c r="K15" s="9"/>
    </row>
    <row r="16" spans="1:11" x14ac:dyDescent="0.3">
      <c r="A16" t="s">
        <v>15</v>
      </c>
      <c r="B16">
        <v>6.23</v>
      </c>
      <c r="C16">
        <v>1.66</v>
      </c>
      <c r="D16">
        <v>62267</v>
      </c>
      <c r="F16" s="10">
        <f>Tableau15[[#This Row],[Concentration (g.T-1)]]/1000000*$B$26</f>
        <v>1.9379420677000001</v>
      </c>
      <c r="G16" s="10"/>
      <c r="H16" s="11">
        <f>Tableau15[[#This Row],[Mass within the product (g)]]*(1+Tableau15[[#This Row],[Losses (%)]])</f>
        <v>1.9379420677000001</v>
      </c>
      <c r="I16" s="7">
        <v>0</v>
      </c>
      <c r="J16" s="7">
        <f>Tableau15[[#This Row],[Masse before losses (g)]]-Tableau15[[#This Row],[Mass in EIME (g)]]</f>
        <v>1.9379420677000001</v>
      </c>
      <c r="K16" s="9"/>
    </row>
    <row r="17" spans="1:11" x14ac:dyDescent="0.3">
      <c r="A17" t="s">
        <v>31</v>
      </c>
      <c r="B17">
        <v>1.95</v>
      </c>
      <c r="C17">
        <v>0.27</v>
      </c>
      <c r="D17">
        <v>19454</v>
      </c>
      <c r="F17" s="10">
        <f>Tableau15[[#This Row],[Concentration (g.T-1)]]/1000000*$B$26</f>
        <v>0.60546878739999999</v>
      </c>
      <c r="G17" s="10"/>
      <c r="H17" s="11">
        <f>Tableau15[[#This Row],[Mass within the product (g)]]*(1+Tableau15[[#This Row],[Losses (%)]])</f>
        <v>0.60546878739999999</v>
      </c>
      <c r="I17" s="7">
        <v>0.60546878739999999</v>
      </c>
      <c r="J17" s="7">
        <f>Tableau15[[#This Row],[Masse before losses (g)]]-Tableau15[[#This Row],[Mass in EIME (g)]]</f>
        <v>0</v>
      </c>
      <c r="K17" s="9"/>
    </row>
    <row r="18" spans="1:11" x14ac:dyDescent="0.3">
      <c r="A18" t="s">
        <v>16</v>
      </c>
      <c r="B18">
        <v>5.75</v>
      </c>
      <c r="C18">
        <v>0.69</v>
      </c>
      <c r="D18">
        <v>57507</v>
      </c>
      <c r="F18" s="10">
        <f>Tableau15[[#This Row],[Concentration (g.T-1)]]/1000000*$B$26</f>
        <v>1.7897961117000001</v>
      </c>
      <c r="G18" s="10"/>
      <c r="H18" s="11">
        <f>Tableau15[[#This Row],[Mass within the product (g)]]*(1+Tableau15[[#This Row],[Losses (%)]])</f>
        <v>1.7897961117000001</v>
      </c>
      <c r="I18" s="7">
        <v>0</v>
      </c>
      <c r="J18" s="7">
        <f>Tableau15[[#This Row],[Masse before losses (g)]]-Tableau15[[#This Row],[Mass in EIME (g)]]</f>
        <v>1.7897961117000001</v>
      </c>
      <c r="K18" s="9"/>
    </row>
    <row r="19" spans="1:11" x14ac:dyDescent="0.3">
      <c r="A19" t="s">
        <v>32</v>
      </c>
      <c r="B19">
        <v>0.04</v>
      </c>
      <c r="C19">
        <v>0</v>
      </c>
      <c r="D19">
        <v>424</v>
      </c>
      <c r="F19" s="10">
        <f>Tableau15[[#This Row],[Concentration (g.T-1)]]/1000000*$B$26</f>
        <v>1.31961944E-2</v>
      </c>
      <c r="G19" s="10"/>
      <c r="H19" s="11">
        <f>Tableau15[[#This Row],[Mass within the product (g)]]*(1+Tableau15[[#This Row],[Losses (%)]])</f>
        <v>1.31961944E-2</v>
      </c>
      <c r="I19" s="7">
        <v>0</v>
      </c>
      <c r="J19" s="7">
        <f>Tableau15[[#This Row],[Masse before losses (g)]]-Tableau15[[#This Row],[Mass in EIME (g)]]</f>
        <v>1.31961944E-2</v>
      </c>
      <c r="K19" s="9"/>
    </row>
    <row r="20" spans="1:11" x14ac:dyDescent="0.3">
      <c r="A20" t="s">
        <v>17</v>
      </c>
      <c r="B20">
        <v>0.08</v>
      </c>
      <c r="C20">
        <v>0.04</v>
      </c>
      <c r="D20">
        <v>817</v>
      </c>
      <c r="F20" s="10">
        <f>Tableau15[[#This Row],[Concentration (g.T-1)]]/1000000*$B$26</f>
        <v>2.5427572700000001E-2</v>
      </c>
      <c r="G20" s="10"/>
      <c r="H20" s="11">
        <f>Tableau15[[#This Row],[Mass within the product (g)]]*(1+Tableau15[[#This Row],[Losses (%)]])</f>
        <v>2.5427572700000001E-2</v>
      </c>
      <c r="I20" s="7">
        <v>0</v>
      </c>
      <c r="J20" s="7">
        <f>Tableau15[[#This Row],[Masse before losses (g)]]-Tableau15[[#This Row],[Mass in EIME (g)]]</f>
        <v>2.5427572700000001E-2</v>
      </c>
      <c r="K20" s="9"/>
    </row>
    <row r="21" spans="1:11" x14ac:dyDescent="0.3">
      <c r="A21" t="s">
        <v>33</v>
      </c>
      <c r="B21">
        <v>7.0000000000000007E-2</v>
      </c>
      <c r="C21">
        <v>0.04</v>
      </c>
      <c r="D21">
        <v>669</v>
      </c>
      <c r="F21" s="10">
        <f>Tableau15[[#This Row],[Concentration (g.T-1)]]/1000000*$B$26</f>
        <v>2.0821353899999999E-2</v>
      </c>
      <c r="G21" s="10"/>
      <c r="H21" s="11">
        <f>Tableau15[[#This Row],[Mass within the product (g)]]*(1+Tableau15[[#This Row],[Losses (%)]])</f>
        <v>2.0821353899999999E-2</v>
      </c>
      <c r="I21" s="7">
        <v>0</v>
      </c>
      <c r="J21" s="7">
        <f>Tableau15[[#This Row],[Masse before losses (g)]]-Tableau15[[#This Row],[Mass in EIME (g)]]</f>
        <v>2.0821353899999999E-2</v>
      </c>
      <c r="K21" s="9"/>
    </row>
    <row r="22" spans="1:11" x14ac:dyDescent="0.3">
      <c r="A22" t="s">
        <v>19</v>
      </c>
      <c r="B22">
        <v>7.0000000000000007E-2</v>
      </c>
      <c r="C22">
        <v>0.01</v>
      </c>
      <c r="D22">
        <v>676</v>
      </c>
      <c r="F22" s="10">
        <f>Tableau15[[#This Row],[Concentration (g.T-1)]]/1000000*$B$26</f>
        <v>2.1039215599999998E-2</v>
      </c>
      <c r="G22" s="10"/>
      <c r="H22" s="11">
        <f>Tableau15[[#This Row],[Mass within the product (g)]]*(1+Tableau15[[#This Row],[Losses (%)]])</f>
        <v>2.1039215599999998E-2</v>
      </c>
      <c r="I22" s="7">
        <v>0</v>
      </c>
      <c r="J22" s="7">
        <f>Tableau15[[#This Row],[Masse before losses (g)]]-Tableau15[[#This Row],[Mass in EIME (g)]]</f>
        <v>2.1039215599999998E-2</v>
      </c>
      <c r="K22" s="9"/>
    </row>
    <row r="23" spans="1:11" x14ac:dyDescent="0.3">
      <c r="A23" t="s">
        <v>20</v>
      </c>
      <c r="C23">
        <v>7.4</v>
      </c>
      <c r="D23">
        <v>74000</v>
      </c>
      <c r="F23" s="10">
        <f>Tableau15[[#This Row],[Concentration (g.T-1)]]/1000000*$B$26</f>
        <v>2.3031093999999999</v>
      </c>
      <c r="G23" s="10"/>
      <c r="H23" s="11">
        <f>Tableau15[[#This Row],[Mass within the product (g)]]*(1+Tableau15[[#This Row],[Losses (%)]])</f>
        <v>2.3031093999999999</v>
      </c>
      <c r="I23" s="7">
        <v>0</v>
      </c>
      <c r="J23" s="7">
        <f>Tableau15[[#This Row],[Masse before losses (g)]]-Tableau15[[#This Row],[Mass in EIME (g)]]</f>
        <v>2.3031093999999999</v>
      </c>
      <c r="K23" s="9"/>
    </row>
    <row r="24" spans="1:11" x14ac:dyDescent="0.3">
      <c r="A24" t="s">
        <v>21</v>
      </c>
      <c r="B24">
        <v>1.29</v>
      </c>
      <c r="C24">
        <v>0</v>
      </c>
      <c r="D24">
        <v>12915</v>
      </c>
      <c r="F24" s="10">
        <f>Tableau15[[#This Row],[Concentration (g.T-1)]]/1000000*$B$26</f>
        <v>0.40195483649999997</v>
      </c>
      <c r="G24" s="10"/>
      <c r="H24" s="11">
        <f>Tableau15[[#This Row],[Mass within the product (g)]]*(1+Tableau15[[#This Row],[Losses (%)]])</f>
        <v>0.40195483649999997</v>
      </c>
      <c r="I24" s="7">
        <v>0</v>
      </c>
      <c r="J24" s="7">
        <f>Tableau15[[#This Row],[Masse before losses (g)]]-Tableau15[[#This Row],[Mass in EIME (g)]]</f>
        <v>0.40195483649999997</v>
      </c>
      <c r="K24" s="9"/>
    </row>
    <row r="25" spans="1:11" x14ac:dyDescent="0.3">
      <c r="F25" s="10"/>
      <c r="G25" s="10"/>
      <c r="H25" s="11"/>
      <c r="I25" s="8"/>
      <c r="J25" s="8"/>
      <c r="K25" s="8"/>
    </row>
    <row r="26" spans="1:11" x14ac:dyDescent="0.3">
      <c r="A26" t="s">
        <v>23</v>
      </c>
      <c r="B26">
        <v>31.123100000000001</v>
      </c>
      <c r="H26" s="8"/>
      <c r="I26" s="8"/>
      <c r="J26" s="8"/>
      <c r="K26" s="8"/>
    </row>
    <row r="27" spans="1:11" x14ac:dyDescent="0.3">
      <c r="H27" s="8"/>
      <c r="I27" s="8"/>
      <c r="J27" s="8"/>
      <c r="K27" s="8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2D6C9-CEC9-460B-B233-30AE34677775}">
  <dimension ref="A1:K26"/>
  <sheetViews>
    <sheetView showGridLines="0" workbookViewId="0">
      <selection activeCell="J1" sqref="A1:J1048576"/>
    </sheetView>
  </sheetViews>
  <sheetFormatPr baseColWidth="10" defaultRowHeight="14.4" x14ac:dyDescent="0.3"/>
  <cols>
    <col min="1" max="1" width="20.21875" bestFit="1" customWidth="1"/>
    <col min="2" max="2" width="14.88671875" customWidth="1"/>
    <col min="3" max="3" width="10.77734375" customWidth="1"/>
    <col min="4" max="4" width="15.21875" customWidth="1"/>
    <col min="5" max="5" width="65.109375" customWidth="1"/>
    <col min="6" max="6" width="25.109375" customWidth="1"/>
    <col min="7" max="7" width="12.109375" customWidth="1"/>
    <col min="8" max="8" width="21.88671875" customWidth="1"/>
    <col min="9" max="9" width="11.5546875" customWidth="1"/>
  </cols>
  <sheetData>
    <row r="1" spans="1:11" x14ac:dyDescent="0.3">
      <c r="A1" t="s">
        <v>25</v>
      </c>
      <c r="B1" t="s">
        <v>26</v>
      </c>
      <c r="C1" t="s">
        <v>0</v>
      </c>
      <c r="D1" t="s">
        <v>27</v>
      </c>
      <c r="E1" t="s">
        <v>22</v>
      </c>
      <c r="F1" t="s">
        <v>28</v>
      </c>
      <c r="G1" t="s">
        <v>29</v>
      </c>
      <c r="H1" t="s">
        <v>30</v>
      </c>
      <c r="I1" s="1" t="s">
        <v>34</v>
      </c>
      <c r="J1" s="1" t="s">
        <v>35</v>
      </c>
      <c r="K1" s="2" t="s">
        <v>36</v>
      </c>
    </row>
    <row r="2" spans="1:11" x14ac:dyDescent="0.3">
      <c r="A2" t="s">
        <v>1</v>
      </c>
      <c r="B2">
        <v>0.03</v>
      </c>
      <c r="C2">
        <v>0</v>
      </c>
      <c r="D2">
        <v>342</v>
      </c>
      <c r="F2" s="10">
        <f>Tableau16[[#This Row],[Concentration (g.T-1)]]/1000000*$B$25</f>
        <v>4.2255126E-3</v>
      </c>
      <c r="G2" s="10"/>
      <c r="H2" s="10">
        <f>Tableau16[[#This Row],[Mass within the product (g)]]*(1+Tableau16[[#This Row],[Losses (%)]])</f>
        <v>4.2255126E-3</v>
      </c>
      <c r="I2" s="3">
        <v>0</v>
      </c>
      <c r="J2" s="7">
        <f>Tableau16[[#This Row],[Masse before losses (g)]]-Tableau16[[#This Row],[Mass in EIME (g)]]</f>
        <v>4.2255126E-3</v>
      </c>
      <c r="K2" s="4"/>
    </row>
    <row r="3" spans="1:11" x14ac:dyDescent="0.3">
      <c r="A3" t="s">
        <v>2</v>
      </c>
      <c r="B3">
        <v>0.27</v>
      </c>
      <c r="C3">
        <v>0.01</v>
      </c>
      <c r="D3">
        <v>2707</v>
      </c>
      <c r="F3" s="10">
        <f>Tableau16[[#This Row],[Concentration (g.T-1)]]/1000000*$B$25</f>
        <v>3.3445797100000001E-2</v>
      </c>
      <c r="G3" s="10"/>
      <c r="H3" s="10">
        <f>Tableau16[[#This Row],[Mass within the product (g)]]*(1+Tableau16[[#This Row],[Losses (%)]])</f>
        <v>3.3445797100000001E-2</v>
      </c>
      <c r="I3" s="5">
        <v>0</v>
      </c>
      <c r="J3" s="7">
        <f>Tableau16[[#This Row],[Masse before losses (g)]]-Tableau16[[#This Row],[Mass in EIME (g)]]</f>
        <v>3.3445797100000001E-2</v>
      </c>
      <c r="K3" s="6"/>
    </row>
    <row r="4" spans="1:11" x14ac:dyDescent="0.3">
      <c r="A4" t="s">
        <v>3</v>
      </c>
      <c r="B4">
        <v>1.22</v>
      </c>
      <c r="C4">
        <v>0.03</v>
      </c>
      <c r="D4">
        <v>12217</v>
      </c>
      <c r="E4" t="s">
        <v>24</v>
      </c>
      <c r="F4" s="10">
        <f>Tableau16[[#This Row],[Concentration (g.T-1)]]/1000000*$B$25</f>
        <v>0.1509447001</v>
      </c>
      <c r="G4" s="10"/>
      <c r="H4" s="10">
        <f>Tableau16[[#This Row],[Mass within the product (g)]]*(1+Tableau16[[#This Row],[Losses (%)]])</f>
        <v>0.1509447001</v>
      </c>
      <c r="I4" s="3">
        <v>0</v>
      </c>
      <c r="J4" s="7">
        <f>Tableau16[[#This Row],[Masse before losses (g)]]-Tableau16[[#This Row],[Mass in EIME (g)]]</f>
        <v>0.1509447001</v>
      </c>
      <c r="K4" s="4"/>
    </row>
    <row r="5" spans="1:11" x14ac:dyDescent="0.3">
      <c r="A5" t="s">
        <v>4</v>
      </c>
      <c r="B5">
        <v>0</v>
      </c>
      <c r="C5">
        <v>0</v>
      </c>
      <c r="D5">
        <v>16</v>
      </c>
      <c r="F5" s="10">
        <f>Tableau16[[#This Row],[Concentration (g.T-1)]]/1000000*$B$25</f>
        <v>1.9768479999999997E-4</v>
      </c>
      <c r="G5" s="10"/>
      <c r="H5" s="10">
        <f>Tableau16[[#This Row],[Mass within the product (g)]]*(1+Tableau16[[#This Row],[Losses (%)]])</f>
        <v>1.9768479999999997E-4</v>
      </c>
      <c r="I5" s="5">
        <v>0</v>
      </c>
      <c r="J5" s="7">
        <f>Tableau16[[#This Row],[Masse before losses (g)]]-Tableau16[[#This Row],[Mass in EIME (g)]]</f>
        <v>1.9768479999999997E-4</v>
      </c>
      <c r="K5" s="6"/>
    </row>
    <row r="6" spans="1:11" x14ac:dyDescent="0.3">
      <c r="A6" t="s">
        <v>5</v>
      </c>
      <c r="B6">
        <v>0</v>
      </c>
      <c r="C6">
        <v>0</v>
      </c>
      <c r="D6">
        <v>40</v>
      </c>
      <c r="F6" s="10">
        <f>Tableau16[[#This Row],[Concentration (g.T-1)]]/1000000*$B$25</f>
        <v>4.9421200000000006E-4</v>
      </c>
      <c r="G6" s="10"/>
      <c r="H6" s="10">
        <f>Tableau16[[#This Row],[Mass within the product (g)]]*(1+Tableau16[[#This Row],[Losses (%)]])</f>
        <v>4.9421200000000006E-4</v>
      </c>
      <c r="I6" s="3">
        <v>0</v>
      </c>
      <c r="J6" s="7">
        <f>Tableau16[[#This Row],[Masse before losses (g)]]-Tableau16[[#This Row],[Mass in EIME (g)]]</f>
        <v>4.9421200000000006E-4</v>
      </c>
      <c r="K6" s="4"/>
    </row>
    <row r="7" spans="1:11" x14ac:dyDescent="0.3">
      <c r="A7" t="s">
        <v>6</v>
      </c>
      <c r="B7">
        <v>0</v>
      </c>
      <c r="C7">
        <v>0</v>
      </c>
      <c r="D7">
        <v>48</v>
      </c>
      <c r="F7" s="10">
        <f>Tableau16[[#This Row],[Concentration (g.T-1)]]/1000000*$B$25</f>
        <v>5.930544E-4</v>
      </c>
      <c r="G7" s="10"/>
      <c r="H7" s="10">
        <f>Tableau16[[#This Row],[Mass within the product (g)]]*(1+Tableau16[[#This Row],[Losses (%)]])</f>
        <v>5.930544E-4</v>
      </c>
      <c r="I7" s="5">
        <v>0</v>
      </c>
      <c r="J7" s="7">
        <f>Tableau16[[#This Row],[Masse before losses (g)]]-Tableau16[[#This Row],[Mass in EIME (g)]]</f>
        <v>5.930544E-4</v>
      </c>
      <c r="K7" s="6"/>
    </row>
    <row r="8" spans="1:11" x14ac:dyDescent="0.3">
      <c r="A8" t="s">
        <v>7</v>
      </c>
      <c r="B8">
        <v>0.02</v>
      </c>
      <c r="C8">
        <v>0</v>
      </c>
      <c r="D8">
        <v>156</v>
      </c>
      <c r="E8" t="s">
        <v>24</v>
      </c>
      <c r="F8" s="10">
        <f>Tableau16[[#This Row],[Concentration (g.T-1)]]/1000000*$B$25</f>
        <v>1.9274267999999999E-3</v>
      </c>
      <c r="G8" s="10"/>
      <c r="H8" s="10">
        <f>Tableau16[[#This Row],[Mass within the product (g)]]*(1+Tableau16[[#This Row],[Losses (%)]])</f>
        <v>1.9274267999999999E-3</v>
      </c>
      <c r="I8" s="3">
        <v>0</v>
      </c>
      <c r="J8" s="7">
        <f>Tableau16[[#This Row],[Masse before losses (g)]]-Tableau16[[#This Row],[Mass in EIME (g)]]</f>
        <v>1.9274267999999999E-3</v>
      </c>
      <c r="K8" s="4"/>
    </row>
    <row r="9" spans="1:11" x14ac:dyDescent="0.3">
      <c r="A9" t="s">
        <v>8</v>
      </c>
      <c r="B9">
        <v>0.03</v>
      </c>
      <c r="C9">
        <v>0</v>
      </c>
      <c r="D9">
        <v>251</v>
      </c>
      <c r="F9" s="10">
        <f>Tableau16[[#This Row],[Concentration (g.T-1)]]/1000000*$B$25</f>
        <v>3.1011802999999995E-3</v>
      </c>
      <c r="G9" s="10"/>
      <c r="H9" s="10">
        <f>Tableau16[[#This Row],[Mass within the product (g)]]*(1+Tableau16[[#This Row],[Losses (%)]])</f>
        <v>3.1011802999999995E-3</v>
      </c>
      <c r="I9" s="5">
        <v>0</v>
      </c>
      <c r="J9" s="7">
        <f>Tableau16[[#This Row],[Masse before losses (g)]]-Tableau16[[#This Row],[Mass in EIME (g)]]</f>
        <v>3.1011802999999995E-3</v>
      </c>
      <c r="K9" s="6"/>
    </row>
    <row r="10" spans="1:11" x14ac:dyDescent="0.3">
      <c r="A10" t="s">
        <v>9</v>
      </c>
      <c r="B10">
        <v>0.01</v>
      </c>
      <c r="C10">
        <v>0</v>
      </c>
      <c r="D10">
        <v>50</v>
      </c>
      <c r="F10" s="10">
        <f>Tableau16[[#This Row],[Concentration (g.T-1)]]/1000000*$B$25</f>
        <v>6.1776500000000005E-4</v>
      </c>
      <c r="G10" s="10"/>
      <c r="H10" s="10">
        <f>Tableau16[[#This Row],[Mass within the product (g)]]*(1+Tableau16[[#This Row],[Losses (%)]])</f>
        <v>6.1776500000000005E-4</v>
      </c>
      <c r="I10" s="3">
        <v>0</v>
      </c>
      <c r="J10" s="7">
        <f>Tableau16[[#This Row],[Masse before losses (g)]]-Tableau16[[#This Row],[Mass in EIME (g)]]</f>
        <v>6.1776500000000005E-4</v>
      </c>
      <c r="K10" s="4"/>
    </row>
    <row r="11" spans="1:11" x14ac:dyDescent="0.3">
      <c r="A11" t="s">
        <v>10</v>
      </c>
      <c r="B11">
        <v>81.739999999999995</v>
      </c>
      <c r="C11">
        <v>3.06</v>
      </c>
      <c r="D11">
        <v>817433</v>
      </c>
      <c r="E11" t="s">
        <v>24</v>
      </c>
      <c r="F11" s="10">
        <f>Tableau16[[#This Row],[Concentration (g.T-1)]]/1000000*$B$25</f>
        <v>10.0996299449</v>
      </c>
      <c r="G11" s="10"/>
      <c r="H11" s="10">
        <f>Tableau16[[#This Row],[Mass within the product (g)]]*(1+Tableau16[[#This Row],[Losses (%)]])</f>
        <v>10.0996299449</v>
      </c>
      <c r="I11" s="5">
        <v>0</v>
      </c>
      <c r="J11" s="7">
        <f>Tableau16[[#This Row],[Masse before losses (g)]]-Tableau16[[#This Row],[Mass in EIME (g)]]</f>
        <v>10.0996299449</v>
      </c>
      <c r="K11" s="6"/>
    </row>
    <row r="12" spans="1:11" x14ac:dyDescent="0.3">
      <c r="A12" t="s">
        <v>11</v>
      </c>
      <c r="B12">
        <v>0.06</v>
      </c>
      <c r="C12">
        <v>0</v>
      </c>
      <c r="D12">
        <v>603</v>
      </c>
      <c r="F12" s="10">
        <f>Tableau16[[#This Row],[Concentration (g.T-1)]]/1000000*$B$25</f>
        <v>7.4502459000000002E-3</v>
      </c>
      <c r="G12" s="10"/>
      <c r="H12" s="10">
        <f>Tableau16[[#This Row],[Mass within the product (g)]]*(1+Tableau16[[#This Row],[Losses (%)]])</f>
        <v>7.4502459000000002E-3</v>
      </c>
      <c r="I12" s="3">
        <v>0</v>
      </c>
      <c r="J12" s="7">
        <f>Tableau16[[#This Row],[Masse before losses (g)]]-Tableau16[[#This Row],[Mass in EIME (g)]]</f>
        <v>7.4502459000000002E-3</v>
      </c>
      <c r="K12" s="4"/>
    </row>
    <row r="13" spans="1:11" x14ac:dyDescent="0.3">
      <c r="A13" t="s">
        <v>12</v>
      </c>
      <c r="B13">
        <v>0.15</v>
      </c>
      <c r="C13">
        <v>0</v>
      </c>
      <c r="D13">
        <v>1466</v>
      </c>
      <c r="F13" s="10">
        <f>Tableau16[[#This Row],[Concentration (g.T-1)]]/1000000*$B$25</f>
        <v>1.81128698E-2</v>
      </c>
      <c r="G13" s="10"/>
      <c r="H13" s="10">
        <f>Tableau16[[#This Row],[Mass within the product (g)]]*(1+Tableau16[[#This Row],[Losses (%)]])</f>
        <v>1.81128698E-2</v>
      </c>
      <c r="I13" s="5">
        <v>0</v>
      </c>
      <c r="J13" s="7">
        <f>Tableau16[[#This Row],[Masse before losses (g)]]-Tableau16[[#This Row],[Mass in EIME (g)]]</f>
        <v>1.81128698E-2</v>
      </c>
      <c r="K13" s="6"/>
    </row>
    <row r="14" spans="1:11" x14ac:dyDescent="0.3">
      <c r="A14" t="s">
        <v>13</v>
      </c>
      <c r="B14">
        <v>0.01</v>
      </c>
      <c r="C14">
        <v>0</v>
      </c>
      <c r="D14">
        <v>146</v>
      </c>
      <c r="F14" s="10">
        <f>Tableau16[[#This Row],[Concentration (g.T-1)]]/1000000*$B$25</f>
        <v>1.8038737999999999E-3</v>
      </c>
      <c r="G14" s="10"/>
      <c r="H14" s="10">
        <f>Tableau16[[#This Row],[Mass within the product (g)]]*(1+Tableau16[[#This Row],[Losses (%)]])</f>
        <v>1.8038737999999999E-3</v>
      </c>
      <c r="I14" s="3">
        <v>0</v>
      </c>
      <c r="J14" s="7">
        <f>Tableau16[[#This Row],[Masse before losses (g)]]-Tableau16[[#This Row],[Mass in EIME (g)]]</f>
        <v>1.8038737999999999E-3</v>
      </c>
      <c r="K14" s="4"/>
    </row>
    <row r="15" spans="1:11" x14ac:dyDescent="0.3">
      <c r="A15" t="s">
        <v>14</v>
      </c>
      <c r="B15">
        <v>0.04</v>
      </c>
      <c r="C15">
        <v>0.01</v>
      </c>
      <c r="D15">
        <v>371</v>
      </c>
      <c r="F15" s="10">
        <f>Tableau16[[#This Row],[Concentration (g.T-1)]]/1000000*$B$25</f>
        <v>4.5838162999999998E-3</v>
      </c>
      <c r="G15" s="10"/>
      <c r="H15" s="10">
        <f>Tableau16[[#This Row],[Mass within the product (g)]]*(1+Tableau16[[#This Row],[Losses (%)]])</f>
        <v>4.5838162999999998E-3</v>
      </c>
      <c r="I15" s="5">
        <v>0</v>
      </c>
      <c r="J15" s="7">
        <f>Tableau16[[#This Row],[Masse before losses (g)]]-Tableau16[[#This Row],[Mass in EIME (g)]]</f>
        <v>4.5838162999999998E-3</v>
      </c>
      <c r="K15" s="6"/>
    </row>
    <row r="16" spans="1:11" x14ac:dyDescent="0.3">
      <c r="A16" t="s">
        <v>15</v>
      </c>
      <c r="B16">
        <v>12.55</v>
      </c>
      <c r="C16">
        <v>0.56999999999999995</v>
      </c>
      <c r="D16">
        <v>125459</v>
      </c>
      <c r="E16" t="s">
        <v>24</v>
      </c>
      <c r="F16" s="10">
        <f>Tableau16[[#This Row],[Concentration (g.T-1)]]/1000000*$B$25</f>
        <v>1.5500835826999999</v>
      </c>
      <c r="G16" s="10"/>
      <c r="H16" s="10">
        <f>Tableau16[[#This Row],[Mass within the product (g)]]*(1+Tableau16[[#This Row],[Losses (%)]])</f>
        <v>1.5500835826999999</v>
      </c>
      <c r="I16" s="3">
        <v>0</v>
      </c>
      <c r="J16" s="7">
        <f>Tableau16[[#This Row],[Masse before losses (g)]]-Tableau16[[#This Row],[Mass in EIME (g)]]</f>
        <v>1.5500835826999999</v>
      </c>
      <c r="K16" s="4"/>
    </row>
    <row r="17" spans="1:11" x14ac:dyDescent="0.3">
      <c r="A17" t="s">
        <v>31</v>
      </c>
      <c r="B17">
        <v>0.36</v>
      </c>
      <c r="C17">
        <v>0.21</v>
      </c>
      <c r="D17">
        <v>3596</v>
      </c>
      <c r="E17" t="s">
        <v>24</v>
      </c>
      <c r="F17" s="10">
        <f>Tableau16[[#This Row],[Concentration (g.T-1)]]/1000000*$B$25</f>
        <v>4.4429658799999994E-2</v>
      </c>
      <c r="G17" s="10"/>
      <c r="H17" s="10">
        <f>Tableau16[[#This Row],[Mass within the product (g)]]*(1+Tableau16[[#This Row],[Losses (%)]])</f>
        <v>4.4429658799999994E-2</v>
      </c>
      <c r="I17" s="5">
        <v>0</v>
      </c>
      <c r="J17" s="7">
        <f>Tableau16[[#This Row],[Masse before losses (g)]]-Tableau16[[#This Row],[Mass in EIME (g)]]</f>
        <v>4.4429658799999994E-2</v>
      </c>
      <c r="K17" s="6"/>
    </row>
    <row r="18" spans="1:11" x14ac:dyDescent="0.3">
      <c r="A18" t="s">
        <v>16</v>
      </c>
      <c r="B18">
        <v>1.37</v>
      </c>
      <c r="C18">
        <v>0.06</v>
      </c>
      <c r="D18">
        <v>13733</v>
      </c>
      <c r="F18" s="10">
        <f>Tableau16[[#This Row],[Concentration (g.T-1)]]/1000000*$B$25</f>
        <v>0.1696753349</v>
      </c>
      <c r="G18" s="10"/>
      <c r="H18" s="10">
        <f>Tableau16[[#This Row],[Mass within the product (g)]]*(1+Tableau16[[#This Row],[Losses (%)]])</f>
        <v>0.1696753349</v>
      </c>
      <c r="I18" s="3">
        <v>0</v>
      </c>
      <c r="J18" s="7">
        <f>Tableau16[[#This Row],[Masse before losses (g)]]-Tableau16[[#This Row],[Mass in EIME (g)]]</f>
        <v>0.1696753349</v>
      </c>
      <c r="K18" s="4"/>
    </row>
    <row r="19" spans="1:11" x14ac:dyDescent="0.3">
      <c r="A19" t="s">
        <v>17</v>
      </c>
      <c r="B19">
        <v>0</v>
      </c>
      <c r="C19">
        <v>0</v>
      </c>
      <c r="D19">
        <v>25</v>
      </c>
      <c r="F19" s="10">
        <f>Tableau16[[#This Row],[Concentration (g.T-1)]]/1000000*$B$25</f>
        <v>3.0888250000000002E-4</v>
      </c>
      <c r="G19" s="10"/>
      <c r="H19" s="10">
        <f>Tableau16[[#This Row],[Mass within the product (g)]]*(1+Tableau16[[#This Row],[Losses (%)]])</f>
        <v>3.0888250000000002E-4</v>
      </c>
      <c r="I19" s="5">
        <v>0</v>
      </c>
      <c r="J19" s="7">
        <f>Tableau16[[#This Row],[Masse before losses (g)]]-Tableau16[[#This Row],[Mass in EIME (g)]]</f>
        <v>3.0888250000000002E-4</v>
      </c>
      <c r="K19" s="6"/>
    </row>
    <row r="20" spans="1:11" x14ac:dyDescent="0.3">
      <c r="A20" t="s">
        <v>33</v>
      </c>
      <c r="B20">
        <v>0.36</v>
      </c>
      <c r="C20">
        <v>0.06</v>
      </c>
      <c r="D20">
        <v>3558</v>
      </c>
      <c r="F20" s="10">
        <f>Tableau16[[#This Row],[Concentration (g.T-1)]]/1000000*$B$25</f>
        <v>4.3960157399999998E-2</v>
      </c>
      <c r="G20" s="10"/>
      <c r="H20" s="10">
        <f>Tableau16[[#This Row],[Mass within the product (g)]]*(1+Tableau16[[#This Row],[Losses (%)]])</f>
        <v>4.3960157399999998E-2</v>
      </c>
      <c r="I20" s="3">
        <v>0</v>
      </c>
      <c r="J20" s="7">
        <f>Tableau16[[#This Row],[Masse before losses (g)]]-Tableau16[[#This Row],[Mass in EIME (g)]]</f>
        <v>4.3960157399999998E-2</v>
      </c>
      <c r="K20" s="4"/>
    </row>
    <row r="21" spans="1:11" x14ac:dyDescent="0.3">
      <c r="A21" t="s">
        <v>19</v>
      </c>
      <c r="B21">
        <v>0.19</v>
      </c>
      <c r="C21">
        <v>0</v>
      </c>
      <c r="D21">
        <v>1872</v>
      </c>
      <c r="F21" s="10">
        <f>Tableau16[[#This Row],[Concentration (g.T-1)]]/1000000*$B$25</f>
        <v>2.31291216E-2</v>
      </c>
      <c r="G21" s="10"/>
      <c r="H21" s="10">
        <f>Tableau16[[#This Row],[Mass within the product (g)]]*(1+Tableau16[[#This Row],[Losses (%)]])</f>
        <v>2.31291216E-2</v>
      </c>
      <c r="I21" s="5">
        <v>0</v>
      </c>
      <c r="J21" s="7">
        <f>Tableau16[[#This Row],[Masse before losses (g)]]-Tableau16[[#This Row],[Mass in EIME (g)]]</f>
        <v>2.31291216E-2</v>
      </c>
      <c r="K21" s="6"/>
    </row>
    <row r="22" spans="1:11" x14ac:dyDescent="0.3">
      <c r="A22" t="s">
        <v>20</v>
      </c>
      <c r="B22">
        <v>0</v>
      </c>
      <c r="C22">
        <v>0</v>
      </c>
      <c r="D22">
        <v>0</v>
      </c>
      <c r="F22" s="10">
        <f>Tableau16[[#This Row],[Concentration (g.T-1)]]/1000000*$B$25</f>
        <v>0</v>
      </c>
      <c r="G22" s="10"/>
      <c r="H22" s="10">
        <f>Tableau16[[#This Row],[Mass within the product (g)]]*(1+Tableau16[[#This Row],[Losses (%)]])</f>
        <v>0</v>
      </c>
      <c r="I22" s="3">
        <v>0</v>
      </c>
      <c r="J22" s="7">
        <f>Tableau16[[#This Row],[Masse before losses (g)]]-Tableau16[[#This Row],[Mass in EIME (g)]]</f>
        <v>0</v>
      </c>
      <c r="K22" s="4"/>
    </row>
    <row r="23" spans="1:11" x14ac:dyDescent="0.3">
      <c r="A23" t="s">
        <v>21</v>
      </c>
      <c r="B23">
        <v>0</v>
      </c>
      <c r="C23">
        <v>0</v>
      </c>
      <c r="D23">
        <v>0</v>
      </c>
      <c r="F23" s="10">
        <f>Tableau16[[#This Row],[Concentration (g.T-1)]]/1000000*$B$25</f>
        <v>0</v>
      </c>
      <c r="G23" s="10"/>
      <c r="H23" s="10">
        <f>Tableau16[[#This Row],[Mass within the product (g)]]*(1+Tableau16[[#This Row],[Losses (%)]])</f>
        <v>0</v>
      </c>
      <c r="I23" s="5">
        <v>0</v>
      </c>
      <c r="J23" s="7">
        <f>Tableau16[[#This Row],[Masse before losses (g)]]-Tableau16[[#This Row],[Mass in EIME (g)]]</f>
        <v>0</v>
      </c>
      <c r="K23" s="6"/>
    </row>
    <row r="24" spans="1:11" x14ac:dyDescent="0.3">
      <c r="J24" s="8"/>
    </row>
    <row r="25" spans="1:11" x14ac:dyDescent="0.3">
      <c r="A25" t="s">
        <v>23</v>
      </c>
      <c r="B25">
        <v>12.3553</v>
      </c>
      <c r="J25" s="8"/>
    </row>
    <row r="26" spans="1:11" x14ac:dyDescent="0.3">
      <c r="J26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Rack</vt:lpstr>
      <vt:lpstr>Carte CPU-GPU</vt:lpstr>
      <vt:lpstr>GPU</vt:lpstr>
      <vt:lpstr>CPU</vt:lpstr>
      <vt:lpstr>Connectiques SMX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Etienne Lees-Perasso</dc:creator>
  <cp:lastModifiedBy>Etienne Lees-Perasso</cp:lastModifiedBy>
  <dcterms:created xsi:type="dcterms:W3CDTF">2015-06-05T18:19:34Z</dcterms:created>
  <dcterms:modified xsi:type="dcterms:W3CDTF">2026-02-06T21:28:55Z</dcterms:modified>
</cp:coreProperties>
</file>