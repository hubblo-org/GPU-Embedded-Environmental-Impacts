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Travail\BDD\IA\2. Fiches de documentation\A100 SXM4 40GB\"/>
    </mc:Choice>
  </mc:AlternateContent>
  <xr:revisionPtr revIDLastSave="0" documentId="13_ncr:1_{58BEB2E0-79EC-4F03-9EF9-908C9339DF76}" xr6:coauthVersionLast="47" xr6:coauthVersionMax="47" xr10:uidLastSave="{00000000-0000-0000-0000-000000000000}"/>
  <bookViews>
    <workbookView xWindow="-38520" yWindow="-120" windowWidth="38640" windowHeight="21120" activeTab="4" xr2:uid="{00000000-000D-0000-FFFF-FFFF00000000}"/>
  </bookViews>
  <sheets>
    <sheet name="Global" sheetId="1" r:id="rId1"/>
    <sheet name="Aloo 1" sheetId="2" r:id="rId2"/>
    <sheet name="Aloo 2" sheetId="3" r:id="rId3"/>
    <sheet name="POP" sheetId="4" r:id="rId4"/>
    <sheet name="Main DI" sheetId="5" r:id="rId5"/>
  </sheets>
  <definedNames>
    <definedName name="_xlnm._FilterDatabase" localSheetId="1" hidden="1">'Aloo 1'!#REF!</definedName>
    <definedName name="_xlnm._FilterDatabase" localSheetId="2" hidden="1">'Aloo 2'!#REF!</definedName>
    <definedName name="_xlnm._FilterDatabase" localSheetId="4" hidden="1">'Main DI'!#REF!</definedName>
    <definedName name="_xlnm._FilterDatabase" localSheetId="3" hidden="1">POP!#REF!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" i="4" l="1"/>
  <c r="F51" i="3" l="1"/>
  <c r="F51" i="5"/>
  <c r="H13" i="3"/>
  <c r="H47" i="3"/>
  <c r="F47" i="5"/>
  <c r="I47" i="5" s="1"/>
  <c r="F47" i="4"/>
  <c r="I47" i="4" s="1"/>
  <c r="F47" i="3"/>
  <c r="I47" i="3" s="1"/>
  <c r="F47" i="2"/>
  <c r="I47" i="2" s="1"/>
  <c r="H46" i="3"/>
  <c r="F46" i="5"/>
  <c r="I46" i="5" s="1"/>
  <c r="F46" i="4"/>
  <c r="I46" i="4" s="1"/>
  <c r="F46" i="3"/>
  <c r="I46" i="3"/>
  <c r="F46" i="2"/>
  <c r="I46" i="2" s="1"/>
  <c r="H23" i="3"/>
  <c r="H18" i="3"/>
  <c r="H22" i="3"/>
  <c r="H32" i="3"/>
  <c r="H45" i="3"/>
  <c r="F45" i="2"/>
  <c r="I45" i="2" s="1"/>
  <c r="F45" i="3"/>
  <c r="I45" i="3" s="1"/>
  <c r="F45" i="4"/>
  <c r="I45" i="4" s="1"/>
  <c r="F45" i="5"/>
  <c r="I45" i="5"/>
  <c r="F44" i="5"/>
  <c r="I44" i="5" s="1"/>
  <c r="F44" i="4"/>
  <c r="I44" i="4" s="1"/>
  <c r="F44" i="3"/>
  <c r="I44" i="3" s="1"/>
  <c r="F44" i="2"/>
  <c r="I44" i="2" s="1"/>
  <c r="F43" i="5"/>
  <c r="I43" i="5" s="1"/>
  <c r="F43" i="4"/>
  <c r="I43" i="4" s="1"/>
  <c r="F43" i="3"/>
  <c r="I43" i="3" s="1"/>
  <c r="F43" i="2"/>
  <c r="I43" i="2" s="1"/>
  <c r="H15" i="3"/>
  <c r="H29" i="4"/>
  <c r="H29" i="3"/>
  <c r="H3" i="3"/>
  <c r="H2" i="3"/>
  <c r="H7" i="3"/>
  <c r="F42" i="5"/>
  <c r="I42" i="5" s="1"/>
  <c r="F42" i="4"/>
  <c r="I42" i="4" s="1"/>
  <c r="F42" i="3"/>
  <c r="I42" i="3" s="1"/>
  <c r="F42" i="2"/>
  <c r="I42" i="2" s="1"/>
  <c r="H21" i="3"/>
  <c r="H41" i="3"/>
  <c r="F41" i="5"/>
  <c r="I41" i="5" s="1"/>
  <c r="F41" i="4"/>
  <c r="I41" i="4" s="1"/>
  <c r="F41" i="3"/>
  <c r="I41" i="3" s="1"/>
  <c r="F41" i="2"/>
  <c r="I41" i="2" s="1"/>
  <c r="H40" i="3"/>
  <c r="F40" i="5"/>
  <c r="I40" i="5" s="1"/>
  <c r="F40" i="4"/>
  <c r="I40" i="4" s="1"/>
  <c r="F40" i="3"/>
  <c r="I40" i="3" s="1"/>
  <c r="F40" i="2"/>
  <c r="I40" i="2" s="1"/>
  <c r="H28" i="3"/>
  <c r="H38" i="3"/>
  <c r="H37" i="3"/>
  <c r="F37" i="5"/>
  <c r="I37" i="5" s="1"/>
  <c r="F38" i="5"/>
  <c r="I38" i="5" s="1"/>
  <c r="F39" i="5"/>
  <c r="I39" i="5"/>
  <c r="F37" i="4"/>
  <c r="I37" i="4" s="1"/>
  <c r="F38" i="4"/>
  <c r="I38" i="4" s="1"/>
  <c r="F39" i="4"/>
  <c r="I39" i="4" s="1"/>
  <c r="F37" i="3"/>
  <c r="I37" i="3" s="1"/>
  <c r="F38" i="3"/>
  <c r="I38" i="3" s="1"/>
  <c r="F39" i="3"/>
  <c r="I39" i="3" s="1"/>
  <c r="F39" i="2"/>
  <c r="I39" i="2" s="1"/>
  <c r="F38" i="2"/>
  <c r="I38" i="2" s="1"/>
  <c r="F37" i="2"/>
  <c r="I37" i="2" s="1"/>
  <c r="F36" i="5"/>
  <c r="I36" i="5" s="1"/>
  <c r="F36" i="4"/>
  <c r="I36" i="4" s="1"/>
  <c r="F36" i="3"/>
  <c r="I36" i="3" s="1"/>
  <c r="F36" i="2"/>
  <c r="I36" i="2" s="1"/>
  <c r="H14" i="3"/>
  <c r="H14" i="2"/>
  <c r="D33" i="5" l="1"/>
  <c r="F33" i="5" s="1"/>
  <c r="I33" i="5" s="1"/>
  <c r="D34" i="5"/>
  <c r="F34" i="5" s="1"/>
  <c r="I34" i="5" s="1"/>
  <c r="D33" i="4"/>
  <c r="F33" i="4" s="1"/>
  <c r="I33" i="4" s="1"/>
  <c r="D34" i="4"/>
  <c r="F34" i="4" s="1"/>
  <c r="I34" i="4" s="1"/>
  <c r="D33" i="2"/>
  <c r="F33" i="2" s="1"/>
  <c r="I33" i="2" s="1"/>
  <c r="D34" i="2"/>
  <c r="F34" i="2" s="1"/>
  <c r="I34" i="2" s="1"/>
  <c r="D33" i="3"/>
  <c r="F33" i="3" s="1"/>
  <c r="I33" i="3" s="1"/>
  <c r="D34" i="3"/>
  <c r="F34" i="3" s="1"/>
  <c r="I34" i="3" s="1"/>
  <c r="D35" i="5"/>
  <c r="F35" i="5" s="1"/>
  <c r="I35" i="5" s="1"/>
  <c r="F32" i="5"/>
  <c r="I32" i="5" s="1"/>
  <c r="F31" i="5"/>
  <c r="I31" i="5" s="1"/>
  <c r="F30" i="5"/>
  <c r="I30" i="5" s="1"/>
  <c r="F29" i="5"/>
  <c r="I29" i="5" s="1"/>
  <c r="F28" i="5"/>
  <c r="I28" i="5" s="1"/>
  <c r="F27" i="5"/>
  <c r="I27" i="5" s="1"/>
  <c r="F26" i="5"/>
  <c r="I26" i="5" s="1"/>
  <c r="F25" i="5"/>
  <c r="I25" i="5" s="1"/>
  <c r="F24" i="5"/>
  <c r="I24" i="5" s="1"/>
  <c r="F23" i="5"/>
  <c r="I23" i="5" s="1"/>
  <c r="F22" i="5"/>
  <c r="I22" i="5" s="1"/>
  <c r="F21" i="5"/>
  <c r="I21" i="5" s="1"/>
  <c r="F20" i="5"/>
  <c r="I20" i="5" s="1"/>
  <c r="F19" i="5"/>
  <c r="I19" i="5" s="1"/>
  <c r="F18" i="5"/>
  <c r="I18" i="5" s="1"/>
  <c r="F17" i="5"/>
  <c r="I17" i="5" s="1"/>
  <c r="F16" i="5"/>
  <c r="I16" i="5" s="1"/>
  <c r="F15" i="5"/>
  <c r="I15" i="5" s="1"/>
  <c r="F14" i="5"/>
  <c r="I14" i="5" s="1"/>
  <c r="F13" i="5"/>
  <c r="I13" i="5" s="1"/>
  <c r="F12" i="5"/>
  <c r="I12" i="5" s="1"/>
  <c r="F11" i="5"/>
  <c r="I11" i="5" s="1"/>
  <c r="F10" i="5"/>
  <c r="I10" i="5" s="1"/>
  <c r="F9" i="5"/>
  <c r="I9" i="5" s="1"/>
  <c r="F8" i="5"/>
  <c r="I8" i="5" s="1"/>
  <c r="F7" i="5"/>
  <c r="I7" i="5" s="1"/>
  <c r="F6" i="5"/>
  <c r="I6" i="5" s="1"/>
  <c r="F5" i="5"/>
  <c r="I5" i="5" s="1"/>
  <c r="F4" i="5"/>
  <c r="I4" i="5" s="1"/>
  <c r="F3" i="5"/>
  <c r="I3" i="5" s="1"/>
  <c r="F2" i="5"/>
  <c r="I2" i="5" s="1"/>
  <c r="D35" i="4"/>
  <c r="F35" i="4" s="1"/>
  <c r="I35" i="4" s="1"/>
  <c r="F32" i="4"/>
  <c r="I32" i="4" s="1"/>
  <c r="F31" i="4"/>
  <c r="I31" i="4" s="1"/>
  <c r="F30" i="4"/>
  <c r="I30" i="4" s="1"/>
  <c r="F29" i="4"/>
  <c r="I29" i="4" s="1"/>
  <c r="F28" i="4"/>
  <c r="I28" i="4" s="1"/>
  <c r="F27" i="4"/>
  <c r="I27" i="4" s="1"/>
  <c r="F26" i="4"/>
  <c r="I26" i="4" s="1"/>
  <c r="F25" i="4"/>
  <c r="I25" i="4" s="1"/>
  <c r="F24" i="4"/>
  <c r="I24" i="4" s="1"/>
  <c r="F23" i="4"/>
  <c r="I23" i="4" s="1"/>
  <c r="F22" i="4"/>
  <c r="I22" i="4" s="1"/>
  <c r="F21" i="4"/>
  <c r="I21" i="4" s="1"/>
  <c r="F20" i="4"/>
  <c r="I20" i="4" s="1"/>
  <c r="F19" i="4"/>
  <c r="I19" i="4" s="1"/>
  <c r="F18" i="4"/>
  <c r="I18" i="4" s="1"/>
  <c r="F17" i="4"/>
  <c r="I17" i="4" s="1"/>
  <c r="F16" i="4"/>
  <c r="I16" i="4" s="1"/>
  <c r="F15" i="4"/>
  <c r="I15" i="4" s="1"/>
  <c r="F14" i="4"/>
  <c r="I14" i="4" s="1"/>
  <c r="F13" i="4"/>
  <c r="I13" i="4" s="1"/>
  <c r="F12" i="4"/>
  <c r="I12" i="4" s="1"/>
  <c r="F11" i="4"/>
  <c r="I11" i="4" s="1"/>
  <c r="F10" i="4"/>
  <c r="I10" i="4" s="1"/>
  <c r="F9" i="4"/>
  <c r="I9" i="4" s="1"/>
  <c r="F8" i="4"/>
  <c r="I8" i="4" s="1"/>
  <c r="F7" i="4"/>
  <c r="I7" i="4" s="1"/>
  <c r="F6" i="4"/>
  <c r="I6" i="4" s="1"/>
  <c r="F5" i="4"/>
  <c r="I5" i="4" s="1"/>
  <c r="F4" i="4"/>
  <c r="I4" i="4" s="1"/>
  <c r="F3" i="4"/>
  <c r="I3" i="4" s="1"/>
  <c r="F2" i="4"/>
  <c r="I2" i="4" s="1"/>
  <c r="D35" i="3"/>
  <c r="F35" i="3" s="1"/>
  <c r="I35" i="3" s="1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6" i="3"/>
  <c r="I26" i="3" s="1"/>
  <c r="F25" i="3"/>
  <c r="I25" i="3" s="1"/>
  <c r="F24" i="3"/>
  <c r="I24" i="3" s="1"/>
  <c r="F23" i="3"/>
  <c r="I23" i="3" s="1"/>
  <c r="F22" i="3"/>
  <c r="I22" i="3" s="1"/>
  <c r="F21" i="3"/>
  <c r="I21" i="3" s="1"/>
  <c r="F20" i="3"/>
  <c r="I20" i="3" s="1"/>
  <c r="F19" i="3"/>
  <c r="I19" i="3" s="1"/>
  <c r="F18" i="3"/>
  <c r="I18" i="3" s="1"/>
  <c r="F17" i="3"/>
  <c r="I17" i="3" s="1"/>
  <c r="F16" i="3"/>
  <c r="I16" i="3" s="1"/>
  <c r="F15" i="3"/>
  <c r="I15" i="3" s="1"/>
  <c r="F14" i="3"/>
  <c r="I14" i="3" s="1"/>
  <c r="F13" i="3"/>
  <c r="I13" i="3" s="1"/>
  <c r="F12" i="3"/>
  <c r="I12" i="3" s="1"/>
  <c r="F11" i="3"/>
  <c r="I11" i="3" s="1"/>
  <c r="F10" i="3"/>
  <c r="I10" i="3" s="1"/>
  <c r="F9" i="3"/>
  <c r="I9" i="3" s="1"/>
  <c r="F8" i="3"/>
  <c r="I8" i="3" s="1"/>
  <c r="F7" i="3"/>
  <c r="I7" i="3" s="1"/>
  <c r="F6" i="3"/>
  <c r="I6" i="3" s="1"/>
  <c r="F5" i="3"/>
  <c r="I5" i="3" s="1"/>
  <c r="F4" i="3"/>
  <c r="I4" i="3" s="1"/>
  <c r="F3" i="3"/>
  <c r="I3" i="3" s="1"/>
  <c r="F2" i="3"/>
  <c r="I2" i="3" s="1"/>
  <c r="D35" i="2"/>
  <c r="F35" i="2" s="1"/>
  <c r="I35" i="2" s="1"/>
  <c r="F2" i="2"/>
  <c r="I2" i="2" s="1"/>
  <c r="F3" i="2"/>
  <c r="I3" i="2" s="1"/>
  <c r="F4" i="2"/>
  <c r="I4" i="2" s="1"/>
  <c r="F5" i="2"/>
  <c r="I5" i="2" s="1"/>
  <c r="F6" i="2"/>
  <c r="I6" i="2" s="1"/>
  <c r="F7" i="2"/>
  <c r="I7" i="2" s="1"/>
  <c r="F8" i="2"/>
  <c r="I8" i="2" s="1"/>
  <c r="F9" i="2"/>
  <c r="I9" i="2" s="1"/>
  <c r="F10" i="2"/>
  <c r="I10" i="2" s="1"/>
  <c r="F11" i="2"/>
  <c r="I11" i="2" s="1"/>
  <c r="F12" i="2"/>
  <c r="I12" i="2" s="1"/>
  <c r="F13" i="2"/>
  <c r="I13" i="2" s="1"/>
  <c r="F14" i="2"/>
  <c r="I14" i="2" s="1"/>
  <c r="F15" i="2"/>
  <c r="I15" i="2" s="1"/>
  <c r="F16" i="2"/>
  <c r="I16" i="2" s="1"/>
  <c r="F17" i="2"/>
  <c r="I17" i="2" s="1"/>
  <c r="F18" i="2"/>
  <c r="I18" i="2" s="1"/>
  <c r="F19" i="2"/>
  <c r="I19" i="2" s="1"/>
  <c r="F20" i="2"/>
  <c r="I20" i="2" s="1"/>
  <c r="F21" i="2"/>
  <c r="I21" i="2" s="1"/>
  <c r="F22" i="2"/>
  <c r="I22" i="2" s="1"/>
  <c r="F23" i="2"/>
  <c r="I23" i="2" s="1"/>
  <c r="F24" i="2"/>
  <c r="I24" i="2" s="1"/>
  <c r="F25" i="2"/>
  <c r="I25" i="2" s="1"/>
  <c r="F26" i="2"/>
  <c r="I26" i="2" s="1"/>
  <c r="F27" i="2"/>
  <c r="I27" i="2" s="1"/>
  <c r="F28" i="2"/>
  <c r="I28" i="2" s="1"/>
  <c r="F29" i="2"/>
  <c r="I29" i="2" s="1"/>
  <c r="F30" i="2"/>
  <c r="I30" i="2" s="1"/>
  <c r="F31" i="2"/>
  <c r="I31" i="2" s="1"/>
  <c r="F32" i="2"/>
  <c r="I32" i="2" l="1"/>
  <c r="F51" i="2"/>
</calcChain>
</file>

<file path=xl/sharedStrings.xml><?xml version="1.0" encoding="utf-8"?>
<sst xmlns="http://schemas.openxmlformats.org/spreadsheetml/2006/main" count="379" uniqueCount="86">
  <si>
    <t xml:space="preserve">Aloo 1 : Cooler with copper foils ; m= 1346.5g </t>
  </si>
  <si>
    <t>Aloo 2 : electronic card ; m = 219.4g</t>
  </si>
  <si>
    <t>Pop : motherboard chip : m = 13.9g</t>
  </si>
  <si>
    <t>Main DI : CPU without metal coating ; m = 22.1g</t>
  </si>
  <si>
    <t>PCB, composants, Main Di : electronic card + metal coating CPU ; m = 109.8g</t>
  </si>
  <si>
    <t>2σ (%wt)</t>
  </si>
  <si>
    <t>Ag</t>
  </si>
  <si>
    <t>Al</t>
  </si>
  <si>
    <t>As</t>
  </si>
  <si>
    <t>Au</t>
  </si>
  <si>
    <t>B</t>
  </si>
  <si>
    <t>Ba</t>
  </si>
  <si>
    <t>Be</t>
  </si>
  <si>
    <t>Bi</t>
  </si>
  <si>
    <t>Ca</t>
  </si>
  <si>
    <t>Cd</t>
  </si>
  <si>
    <t>Co</t>
  </si>
  <si>
    <t>Cr</t>
  </si>
  <si>
    <t>Cu</t>
  </si>
  <si>
    <t>Fe</t>
  </si>
  <si>
    <t>K</t>
  </si>
  <si>
    <t>Mg</t>
  </si>
  <si>
    <t>Mn</t>
  </si>
  <si>
    <t>Na</t>
  </si>
  <si>
    <t>Ni</t>
  </si>
  <si>
    <t>Pb</t>
  </si>
  <si>
    <t>Pd</t>
  </si>
  <si>
    <t>Pt</t>
  </si>
  <si>
    <t>Sb</t>
  </si>
  <si>
    <t>Se</t>
  </si>
  <si>
    <t>Sn</t>
  </si>
  <si>
    <t>Sr</t>
  </si>
  <si>
    <t>Ti</t>
  </si>
  <si>
    <t>Tl</t>
  </si>
  <si>
    <t>V</t>
  </si>
  <si>
    <t>Zn</t>
  </si>
  <si>
    <t>Indissous</t>
  </si>
  <si>
    <t>Pertes à la pyrolyse</t>
  </si>
  <si>
    <t>Polymères et oxygène</t>
  </si>
  <si>
    <t>Detected but which are at the limit of quantification on the equipment</t>
  </si>
  <si>
    <t>Masse totale (g)</t>
  </si>
  <si>
    <t>Li</t>
  </si>
  <si>
    <t>x</t>
  </si>
  <si>
    <t>Element</t>
  </si>
  <si>
    <t>Concentration (%wt)</t>
  </si>
  <si>
    <t>Concentration (g.T-1)</t>
  </si>
  <si>
    <t>Mass within the product (g)</t>
  </si>
  <si>
    <t>Losses (%)</t>
  </si>
  <si>
    <t>Si</t>
  </si>
  <si>
    <t>Mo</t>
  </si>
  <si>
    <t>Mass in EIME (g)</t>
  </si>
  <si>
    <t>Difference (g)</t>
  </si>
  <si>
    <t xml:space="preserve">The following hypotheses have been made: </t>
  </si>
  <si>
    <t>- By default: plastic 5% losses, metal 30% losses, precious metal 0%, other 5%. Electronic components: taken into account in the dataset. Silicon chip: see specific documentation in each line</t>
  </si>
  <si>
    <t>N/A (die)</t>
  </si>
  <si>
    <t>Zamak</t>
  </si>
  <si>
    <t>Glass fibre</t>
  </si>
  <si>
    <t>Epoxy</t>
  </si>
  <si>
    <t>PC</t>
  </si>
  <si>
    <t>TBBA</t>
  </si>
  <si>
    <t>PEHD</t>
  </si>
  <si>
    <t>Ta</t>
  </si>
  <si>
    <t>Raw materials unspecified</t>
  </si>
  <si>
    <t>PU</t>
  </si>
  <si>
    <t>Quick lime</t>
  </si>
  <si>
    <t>Ceramic</t>
  </si>
  <si>
    <t>Talc</t>
  </si>
  <si>
    <t>Comment</t>
  </si>
  <si>
    <t>Removed</t>
  </si>
  <si>
    <t>Removed (elements included separately)</t>
  </si>
  <si>
    <t>Included in "Indissous", "Pertes à la pyrolyse" and/or "Polymères et oxygène"</t>
  </si>
  <si>
    <t>No data</t>
  </si>
  <si>
    <t>Percentage of material assessed</t>
  </si>
  <si>
    <t>Add elementary flows for missing materials</t>
  </si>
  <si>
    <t xml:space="preserve">
Elementary flow / Resources / Resources from ground / Non-renewable element resources from ground / Arsenic</t>
  </si>
  <si>
    <t>Elementary flow / Resources / Resources from ground / Non-renewable element resources from ground / Boron</t>
  </si>
  <si>
    <t>Elementary flow / Resources / Resources from ground / Non-renewable element resources from ground / Beryllium</t>
  </si>
  <si>
    <t>Elementary flow / Resources / Resources from ground / Non-renewable element resources from ground / Bismuth</t>
  </si>
  <si>
    <t>Elementary flow / Resources / Resources from ground / Non-renewable element resources from ground / Cobalt</t>
  </si>
  <si>
    <t>Elementary flow / Resources / Resources from ground / Non-renewable element resources from ground / Sodium</t>
  </si>
  <si>
    <t>Elementary flow / Resources / Resources from ground / Non-renewable element resources from ground / Palladium</t>
  </si>
  <si>
    <t>Elementary flow / Resources / Resources from ground / Non-renewable element resources from ground / Platinum</t>
  </si>
  <si>
    <t>Elementary flow / Resources / Resources from ground / Non-renewable element resources from ground / Selenium</t>
  </si>
  <si>
    <t>Elementary flow / Resources / Resources from ground / Non-renewable element resources from ground / Thallium</t>
  </si>
  <si>
    <t>Elementary flow / Resources / Resources from ground / Non-renewable element resources from ground / Vanadium</t>
  </si>
  <si>
    <t>Not assessed -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</si>
</sst>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indent="1"/>
    </xf>
    <xf numFmtId="11" fontId="0" fillId="0" borderId="0" xfId="0" applyNumberFormat="1"/>
    <xf numFmtId="0" fontId="0" fillId="0" borderId="0" xfId="0" quotePrefix="1"/>
    <xf numFmtId="11" fontId="0" fillId="2" borderId="0" xfId="0" applyNumberFormat="1" applyFill="1"/>
    <xf numFmtId="164" fontId="0" fillId="0" borderId="0" xfId="1" applyNumberFormat="1" applyFont="1"/>
    <xf numFmtId="11" fontId="0" fillId="3" borderId="0" xfId="0" applyNumberFormat="1" applyFill="1"/>
  </cellXfs>
  <cellStyles count="2">
    <cellStyle name="Normal" xfId="0" builtinId="0"/>
    <cellStyle name="Pourcentage" xfId="1" builtinId="5"/>
  </cellStyles>
  <dxfs count="19"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E9B92-B449-434E-84BD-2AFD66E4F89E}" name="Tableau1" displayName="Tableau1" ref="A1:J47" totalsRowShown="0">
  <autoFilter ref="A1:J47" xr:uid="{883E9B92-B449-434E-84BD-2AFD66E4F89E}"/>
  <tableColumns count="10">
    <tableColumn id="1" xr3:uid="{E290B3AE-8701-48FD-A81E-C9E69428DEB1}" name="Element"/>
    <tableColumn id="2" xr3:uid="{D3CF36C5-9DC9-4B93-8F3A-B832A9411111}" name="Concentration (%wt)"/>
    <tableColumn id="3" xr3:uid="{F915994C-2385-4698-A19F-A7E823037E52}" name="2σ (%wt)"/>
    <tableColumn id="4" xr3:uid="{026D1C96-2E8C-4F50-8FB7-B0C4D6D19CCE}" name="Concentration (g.T-1)"/>
    <tableColumn id="5" xr3:uid="{F4570090-E5B1-4181-ABB5-45A1A462B895}" name="Detected but which are at the limit of quantification on the equipment"/>
    <tableColumn id="6" xr3:uid="{417AD568-A469-43F8-BF1B-BD58ADFEACF4}" name="Mass within the product (g)" dataDxfId="18">
      <calculatedColumnFormula>Tableau1[[#This Row],[Concentration (g.T-1)]]/1000000*$B$51</calculatedColumnFormula>
    </tableColumn>
    <tableColumn id="7" xr3:uid="{07556A80-5457-44DC-89B6-4BFBD10F83B2}" name="Losses (%)"/>
    <tableColumn id="8" xr3:uid="{2080D6B9-99D0-4604-9DA8-F52A1C5F6E88}" name="Mass in EIME (g)" dataDxfId="17"/>
    <tableColumn id="9" xr3:uid="{96732722-C165-4BAB-8EB8-AB2644924E49}" name="Difference (g)" dataDxfId="16">
      <calculatedColumnFormula>Tableau1[[#This Row],[Mass within the product (g)]]-Tableau1[[#This Row],[Mass in EIME (g)]]</calculatedColumnFormula>
    </tableColumn>
    <tableColumn id="10" xr3:uid="{9FBEC275-365F-43EB-9C86-4B0E8DA6C5E5}" name="Comment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44448A-BA40-4E26-851D-D454880255EA}" name="Tableau13" displayName="Tableau13" ref="A1:J47" totalsRowShown="0">
  <autoFilter ref="A1:J47" xr:uid="{883E9B92-B449-434E-84BD-2AFD66E4F89E}"/>
  <tableColumns count="10">
    <tableColumn id="1" xr3:uid="{B6023B07-0A25-4CAA-B7F0-6935E433DD43}" name="Element"/>
    <tableColumn id="2" xr3:uid="{86711175-766B-4C6E-BE49-57E61D0D909E}" name="Concentration (%wt)"/>
    <tableColumn id="3" xr3:uid="{4626F9F9-8DA2-4E69-B444-B06DB759F20F}" name="2σ (%wt)"/>
    <tableColumn id="4" xr3:uid="{3312424B-2991-4EB9-93A8-C6E97A076E99}" name="Concentration (g.T-1)"/>
    <tableColumn id="5" xr3:uid="{69733FA9-7B6A-40E7-B983-44BBD37B29BE}" name="Detected but which are at the limit of quantification on the equipment"/>
    <tableColumn id="6" xr3:uid="{ABB12235-36BC-4D3A-881F-F55794C9D317}" name="Mass within the product (g)" dataDxfId="14">
      <calculatedColumnFormula>Tableau13[[#This Row],[Concentration (g.T-1)]]/1000000*$B$51</calculatedColumnFormula>
    </tableColumn>
    <tableColumn id="7" xr3:uid="{4987BC9E-D47C-4839-9845-B7ABD4E95546}" name="Losses (%)" dataDxfId="13"/>
    <tableColumn id="8" xr3:uid="{54DE7B87-DDB3-45A2-88ED-A8C0C8F56C86}" name="Mass in EIME (g)" dataDxfId="12">
      <calculatedColumnFormula>0.00305-0.000409</calculatedColumnFormula>
    </tableColumn>
    <tableColumn id="9" xr3:uid="{CEF2E697-08E9-4073-B863-6447DD8A7958}" name="Difference (g)" dataDxfId="11">
      <calculatedColumnFormula>Tableau13[[#This Row],[Mass within the product (g)]]-Tableau13[[#This Row],[Mass in EIME (g)]]</calculatedColumnFormula>
    </tableColumn>
    <tableColumn id="10" xr3:uid="{0B90F4B0-4710-4814-A12F-AC038EED277D}" name="Comment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1754FC-1AAB-42FC-A153-C6ACC5722C4F}" name="Tableau14" displayName="Tableau14" ref="A1:J47" totalsRowShown="0">
  <autoFilter ref="A1:J47" xr:uid="{883E9B92-B449-434E-84BD-2AFD66E4F89E}"/>
  <tableColumns count="10">
    <tableColumn id="1" xr3:uid="{87ADD70D-7F4B-4CBA-BA8B-AE5607F27C52}" name="Element"/>
    <tableColumn id="2" xr3:uid="{DC2F8D13-5D6F-46A5-B192-614E91853E64}" name="Concentration (%wt)"/>
    <tableColumn id="3" xr3:uid="{230BA68B-BF38-4960-BEB9-0C7BCC9C2567}" name="2σ (%wt)"/>
    <tableColumn id="4" xr3:uid="{1C67CB7D-57D9-4114-9E21-122111F976FB}" name="Concentration (g.T-1)"/>
    <tableColumn id="5" xr3:uid="{EC6BC637-F40D-4639-9E9D-DBA6ABBBA480}" name="Detected but which are at the limit of quantification on the equipment"/>
    <tableColumn id="6" xr3:uid="{F3EBB39E-0F85-405F-87D5-DD490A84BAEB}" name="Mass within the product (g)" dataDxfId="9">
      <calculatedColumnFormula>Tableau14[[#This Row],[Concentration (g.T-1)]]/1000000*$B$51</calculatedColumnFormula>
    </tableColumn>
    <tableColumn id="7" xr3:uid="{27FA1335-6803-4C42-BCF0-63D57C3B861B}" name="Losses (%)" dataDxfId="8"/>
    <tableColumn id="8" xr3:uid="{1AABC4A9-F0D7-407C-BBA5-A8EEB5F5BFAB}" name="Mass in EIME (g)" dataDxfId="7"/>
    <tableColumn id="9" xr3:uid="{6C77EFDB-98B3-4776-B445-559E7F925E76}" name="Difference (g)" dataDxfId="6">
      <calculatedColumnFormula>Tableau14[[#This Row],[Mass within the product (g)]]-Tableau14[[#This Row],[Mass in EIME (g)]]</calculatedColumnFormula>
    </tableColumn>
    <tableColumn id="10" xr3:uid="{431179F8-65B2-412D-86B8-FD4BDD378D3A}" name="Comment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57050F-1017-4185-AC86-8B90E5DA08A0}" name="Tableau15" displayName="Tableau15" ref="A1:J47" totalsRowShown="0">
  <autoFilter ref="A1:J47" xr:uid="{883E9B92-B449-434E-84BD-2AFD66E4F89E}"/>
  <tableColumns count="10">
    <tableColumn id="1" xr3:uid="{BC71CF2E-23A9-4565-BF2B-2D154B92CA57}" name="Element"/>
    <tableColumn id="2" xr3:uid="{0923C78D-A428-4C1C-ADC7-A1B5BC16C0E2}" name="Concentration (%wt)"/>
    <tableColumn id="3" xr3:uid="{BB378369-8CDD-4F69-B10A-51A09C754B10}" name="2σ (%wt)"/>
    <tableColumn id="4" xr3:uid="{D4953457-4F50-45A5-809D-63C2BF665A73}" name="Concentration (g.T-1)"/>
    <tableColumn id="5" xr3:uid="{487F6155-60AD-4C22-AC4A-E98C2513C2C9}" name="Detected but which are at the limit of quantification on the equipment"/>
    <tableColumn id="6" xr3:uid="{22B0D0C1-DC20-472F-B7C5-C401C1613EA6}" name="Mass within the product (g)" dataDxfId="4">
      <calculatedColumnFormula>Tableau15[[#This Row],[Concentration (g.T-1)]]/1000000*$B$51</calculatedColumnFormula>
    </tableColumn>
    <tableColumn id="7" xr3:uid="{BF09529B-ECDE-43B9-A901-EC9CAC91A445}" name="Losses (%)" dataDxfId="3"/>
    <tableColumn id="9" xr3:uid="{979893E9-D7C1-41EA-87A7-E7BCF647FCE4}" name="Mass in EIME (g)" dataDxfId="2"/>
    <tableColumn id="10" xr3:uid="{A4F8A190-E97A-431D-94F6-14DD68395217}" name="Difference (g)" dataDxfId="1">
      <calculatedColumnFormula>Tableau15[[#This Row],[Mass within the product (g)]]-Tableau15[[#This Row],[Mass in EIME (g)]]</calculatedColumnFormula>
    </tableColumn>
    <tableColumn id="11" xr3:uid="{A950477C-7622-4297-AED2-B754354C7539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19" sqref="B19"/>
    </sheetView>
  </sheetViews>
  <sheetFormatPr baseColWidth="10" defaultColWidth="8.88671875"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9" spans="1:1" x14ac:dyDescent="0.3">
      <c r="A9" t="s">
        <v>52</v>
      </c>
    </row>
    <row r="10" spans="1:1" x14ac:dyDescent="0.3">
      <c r="A10" s="3" t="s">
        <v>53</v>
      </c>
    </row>
    <row r="18" spans="2:2" x14ac:dyDescent="0.3">
      <c r="B18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A019-3110-45B0-8F47-80A0A1B9713E}">
  <dimension ref="A1:J51"/>
  <sheetViews>
    <sheetView showGridLines="0" workbookViewId="0">
      <selection activeCell="I31" sqref="I31"/>
    </sheetView>
  </sheetViews>
  <sheetFormatPr baseColWidth="10" defaultRowHeight="14.4" x14ac:dyDescent="0.3"/>
  <cols>
    <col min="1" max="1" width="20.21875" bestFit="1" customWidth="1"/>
    <col min="2" max="2" width="14.88671875" customWidth="1"/>
    <col min="3" max="3" width="10.77734375" customWidth="1"/>
    <col min="4" max="4" width="15.21875" customWidth="1"/>
    <col min="5" max="5" width="65.109375" customWidth="1"/>
    <col min="6" max="6" width="25.109375" customWidth="1"/>
    <col min="7" max="7" width="12.109375" bestFit="1" customWidth="1"/>
    <col min="8" max="8" width="17.21875" bestFit="1" customWidth="1"/>
    <col min="9" max="9" width="15.109375" bestFit="1" customWidth="1"/>
  </cols>
  <sheetData>
    <row r="1" spans="1:10" x14ac:dyDescent="0.3">
      <c r="A1" t="s">
        <v>43</v>
      </c>
      <c r="B1" t="s">
        <v>44</v>
      </c>
      <c r="C1" t="s">
        <v>5</v>
      </c>
      <c r="D1" t="s">
        <v>45</v>
      </c>
      <c r="E1" t="s">
        <v>39</v>
      </c>
      <c r="F1" t="s">
        <v>46</v>
      </c>
      <c r="G1" t="s">
        <v>47</v>
      </c>
      <c r="H1" t="s">
        <v>50</v>
      </c>
      <c r="I1" t="s">
        <v>51</v>
      </c>
      <c r="J1" t="s">
        <v>67</v>
      </c>
    </row>
    <row r="2" spans="1:10" x14ac:dyDescent="0.3">
      <c r="A2" t="s">
        <v>6</v>
      </c>
      <c r="B2">
        <v>0.03</v>
      </c>
      <c r="C2">
        <v>0.01</v>
      </c>
      <c r="D2">
        <v>321</v>
      </c>
      <c r="F2" s="2">
        <f>Tableau1[[#This Row],[Concentration (g.T-1)]]/1000000*$B$51</f>
        <v>0.43222650000000001</v>
      </c>
      <c r="G2">
        <v>0</v>
      </c>
      <c r="H2" s="2">
        <v>0</v>
      </c>
      <c r="I2" s="4">
        <f>Tableau1[[#This Row],[Mass within the product (g)]]-Tableau1[[#This Row],[Mass in EIME (g)]]</f>
        <v>0.43222650000000001</v>
      </c>
      <c r="J2" s="2"/>
    </row>
    <row r="3" spans="1:10" x14ac:dyDescent="0.3">
      <c r="A3" t="s">
        <v>7</v>
      </c>
      <c r="B3">
        <v>0.14000000000000001</v>
      </c>
      <c r="C3">
        <v>0.02</v>
      </c>
      <c r="D3">
        <v>1404</v>
      </c>
      <c r="F3" s="2">
        <f>Tableau1[[#This Row],[Concentration (g.T-1)]]/1000000*$B$51</f>
        <v>1.8904860000000001</v>
      </c>
      <c r="G3">
        <v>30</v>
      </c>
      <c r="H3" s="2">
        <v>0</v>
      </c>
      <c r="I3" s="4">
        <f>Tableau1[[#This Row],[Mass within the product (g)]]-Tableau1[[#This Row],[Mass in EIME (g)]]</f>
        <v>1.8904860000000001</v>
      </c>
      <c r="J3" s="2"/>
    </row>
    <row r="4" spans="1:10" x14ac:dyDescent="0.3">
      <c r="A4" t="s">
        <v>8</v>
      </c>
      <c r="B4">
        <v>0</v>
      </c>
      <c r="C4">
        <v>0</v>
      </c>
      <c r="D4">
        <v>20</v>
      </c>
      <c r="E4" t="s">
        <v>42</v>
      </c>
      <c r="F4" s="2">
        <f>Tableau1[[#This Row],[Concentration (g.T-1)]]/1000000*$B$51</f>
        <v>2.6930000000000003E-2</v>
      </c>
      <c r="G4">
        <v>5</v>
      </c>
      <c r="H4" s="2"/>
      <c r="I4" s="6">
        <f>Tableau1[[#This Row],[Mass within the product (g)]]-Tableau1[[#This Row],[Mass in EIME (g)]]</f>
        <v>2.6930000000000003E-2</v>
      </c>
      <c r="J4" s="2" t="s">
        <v>74</v>
      </c>
    </row>
    <row r="5" spans="1:10" x14ac:dyDescent="0.3">
      <c r="A5" t="s">
        <v>9</v>
      </c>
      <c r="B5">
        <v>0</v>
      </c>
      <c r="C5">
        <v>0</v>
      </c>
      <c r="D5">
        <v>22</v>
      </c>
      <c r="E5" t="s">
        <v>42</v>
      </c>
      <c r="F5" s="2">
        <f>Tableau1[[#This Row],[Concentration (g.T-1)]]/1000000*$B$51</f>
        <v>2.9623E-2</v>
      </c>
      <c r="G5">
        <v>0</v>
      </c>
      <c r="H5" s="2"/>
      <c r="I5" s="4">
        <f>Tableau1[[#This Row],[Mass within the product (g)]]-Tableau1[[#This Row],[Mass in EIME (g)]]</f>
        <v>2.9623E-2</v>
      </c>
      <c r="J5" s="2"/>
    </row>
    <row r="6" spans="1:10" x14ac:dyDescent="0.3">
      <c r="A6" t="s">
        <v>10</v>
      </c>
      <c r="B6">
        <v>0.02</v>
      </c>
      <c r="C6">
        <v>0.01</v>
      </c>
      <c r="D6">
        <v>206</v>
      </c>
      <c r="F6" s="2">
        <f>Tableau1[[#This Row],[Concentration (g.T-1)]]/1000000*$B$51</f>
        <v>0.27737899999999999</v>
      </c>
      <c r="G6">
        <v>5</v>
      </c>
      <c r="H6" s="2"/>
      <c r="I6" s="6">
        <f>Tableau1[[#This Row],[Mass within the product (g)]]-Tableau1[[#This Row],[Mass in EIME (g)]]</f>
        <v>0.27737899999999999</v>
      </c>
      <c r="J6" s="2" t="s">
        <v>75</v>
      </c>
    </row>
    <row r="7" spans="1:10" x14ac:dyDescent="0.3">
      <c r="A7" t="s">
        <v>11</v>
      </c>
      <c r="B7">
        <v>0.01</v>
      </c>
      <c r="C7">
        <v>0</v>
      </c>
      <c r="D7">
        <v>54</v>
      </c>
      <c r="F7" s="2">
        <f>Tableau1[[#This Row],[Concentration (g.T-1)]]/1000000*$B$51</f>
        <v>7.2710999999999998E-2</v>
      </c>
      <c r="G7">
        <v>5</v>
      </c>
      <c r="H7" s="2">
        <v>0</v>
      </c>
      <c r="I7" s="4">
        <f>Tableau1[[#This Row],[Mass within the product (g)]]-Tableau1[[#This Row],[Mass in EIME (g)]]</f>
        <v>7.2710999999999998E-2</v>
      </c>
      <c r="J7" s="2"/>
    </row>
    <row r="8" spans="1:10" x14ac:dyDescent="0.3">
      <c r="A8" t="s">
        <v>12</v>
      </c>
      <c r="B8">
        <v>0</v>
      </c>
      <c r="C8">
        <v>0</v>
      </c>
      <c r="D8">
        <v>1</v>
      </c>
      <c r="E8" t="s">
        <v>42</v>
      </c>
      <c r="F8" s="2">
        <f>Tableau1[[#This Row],[Concentration (g.T-1)]]/1000000*$B$51</f>
        <v>1.3465E-3</v>
      </c>
      <c r="G8">
        <v>5</v>
      </c>
      <c r="H8" s="2"/>
      <c r="I8" s="6">
        <f>Tableau1[[#This Row],[Mass within the product (g)]]-Tableau1[[#This Row],[Mass in EIME (g)]]</f>
        <v>1.3465E-3</v>
      </c>
      <c r="J8" s="2" t="s">
        <v>76</v>
      </c>
    </row>
    <row r="9" spans="1:10" x14ac:dyDescent="0.3">
      <c r="A9" t="s">
        <v>13</v>
      </c>
      <c r="B9">
        <v>0.1</v>
      </c>
      <c r="C9">
        <v>0.02</v>
      </c>
      <c r="D9">
        <v>1027</v>
      </c>
      <c r="F9" s="2">
        <f>Tableau1[[#This Row],[Concentration (g.T-1)]]/1000000*$B$51</f>
        <v>1.3828554999999998</v>
      </c>
      <c r="G9">
        <v>5</v>
      </c>
      <c r="H9" s="2"/>
      <c r="I9" s="6">
        <f>Tableau1[[#This Row],[Mass within the product (g)]]-Tableau1[[#This Row],[Mass in EIME (g)]]</f>
        <v>1.3828554999999998</v>
      </c>
      <c r="J9" s="2" t="s">
        <v>77</v>
      </c>
    </row>
    <row r="10" spans="1:10" x14ac:dyDescent="0.3">
      <c r="A10" t="s">
        <v>14</v>
      </c>
      <c r="B10">
        <v>7.0000000000000007E-2</v>
      </c>
      <c r="C10">
        <v>0.01</v>
      </c>
      <c r="D10">
        <v>689</v>
      </c>
      <c r="F10" s="2">
        <f>Tableau1[[#This Row],[Concentration (g.T-1)]]/1000000*$B$51</f>
        <v>0.92773850000000002</v>
      </c>
      <c r="G10">
        <v>5</v>
      </c>
      <c r="H10" s="2"/>
      <c r="I10" s="4">
        <f>Tableau1[[#This Row],[Mass within the product (g)]]-Tableau1[[#This Row],[Mass in EIME (g)]]</f>
        <v>0.92773850000000002</v>
      </c>
      <c r="J10" s="2"/>
    </row>
    <row r="11" spans="1:10" x14ac:dyDescent="0.3">
      <c r="A11" t="s">
        <v>15</v>
      </c>
      <c r="B11">
        <v>0</v>
      </c>
      <c r="C11">
        <v>0</v>
      </c>
      <c r="D11">
        <v>2</v>
      </c>
      <c r="E11" t="s">
        <v>42</v>
      </c>
      <c r="F11" s="2">
        <f>Tableau1[[#This Row],[Concentration (g.T-1)]]/1000000*$B$51</f>
        <v>2.6930000000000001E-3</v>
      </c>
      <c r="G11">
        <v>0</v>
      </c>
      <c r="H11" s="2"/>
      <c r="I11" s="4">
        <f>Tableau1[[#This Row],[Mass within the product (g)]]-Tableau1[[#This Row],[Mass in EIME (g)]]</f>
        <v>2.6930000000000001E-3</v>
      </c>
      <c r="J11" s="2"/>
    </row>
    <row r="12" spans="1:10" x14ac:dyDescent="0.3">
      <c r="A12" t="s">
        <v>16</v>
      </c>
      <c r="B12">
        <v>0</v>
      </c>
      <c r="C12">
        <v>0</v>
      </c>
      <c r="D12">
        <v>3</v>
      </c>
      <c r="E12" t="s">
        <v>42</v>
      </c>
      <c r="F12" s="2">
        <f>Tableau1[[#This Row],[Concentration (g.T-1)]]/1000000*$B$51</f>
        <v>4.0394999999999997E-3</v>
      </c>
      <c r="G12">
        <v>5</v>
      </c>
      <c r="H12" s="2"/>
      <c r="I12" s="6">
        <f>Tableau1[[#This Row],[Mass within the product (g)]]-Tableau1[[#This Row],[Mass in EIME (g)]]</f>
        <v>4.0394999999999997E-3</v>
      </c>
      <c r="J12" s="2" t="s">
        <v>78</v>
      </c>
    </row>
    <row r="13" spans="1:10" x14ac:dyDescent="0.3">
      <c r="A13" t="s">
        <v>17</v>
      </c>
      <c r="B13">
        <v>0</v>
      </c>
      <c r="C13">
        <v>0</v>
      </c>
      <c r="D13">
        <v>46</v>
      </c>
      <c r="E13" t="s">
        <v>42</v>
      </c>
      <c r="F13" s="2">
        <f>Tableau1[[#This Row],[Concentration (g.T-1)]]/1000000*$B$51</f>
        <v>6.1939000000000001E-2</v>
      </c>
      <c r="G13">
        <v>0</v>
      </c>
      <c r="H13" s="2">
        <v>0</v>
      </c>
      <c r="I13" s="4">
        <f>Tableau1[[#This Row],[Mass within the product (g)]]-Tableau1[[#This Row],[Mass in EIME (g)]]</f>
        <v>6.1939000000000001E-2</v>
      </c>
      <c r="J13" s="2"/>
    </row>
    <row r="14" spans="1:10" x14ac:dyDescent="0.3">
      <c r="A14" t="s">
        <v>18</v>
      </c>
      <c r="B14">
        <v>96.37</v>
      </c>
      <c r="C14">
        <v>1.1599999999999999</v>
      </c>
      <c r="D14">
        <v>963682</v>
      </c>
      <c r="F14" s="2">
        <f>Tableau1[[#This Row],[Concentration (g.T-1)]]/1000000*$B$51</f>
        <v>1297.5978130000001</v>
      </c>
      <c r="G14">
        <v>30</v>
      </c>
      <c r="H14" s="2">
        <f>986+267.69</f>
        <v>1253.69</v>
      </c>
      <c r="I14" s="4">
        <f>Tableau1[[#This Row],[Mass within the product (g)]]-Tableau1[[#This Row],[Mass in EIME (g)]]</f>
        <v>43.907813000000033</v>
      </c>
      <c r="J14" s="2"/>
    </row>
    <row r="15" spans="1:10" x14ac:dyDescent="0.3">
      <c r="A15" t="s">
        <v>19</v>
      </c>
      <c r="B15">
        <v>0.12</v>
      </c>
      <c r="C15">
        <v>7.0000000000000007E-2</v>
      </c>
      <c r="D15">
        <v>1171</v>
      </c>
      <c r="F15" s="2">
        <f>Tableau1[[#This Row],[Concentration (g.T-1)]]/1000000*$B$51</f>
        <v>1.5767514999999999</v>
      </c>
      <c r="G15">
        <v>30</v>
      </c>
      <c r="H15" s="2">
        <v>0</v>
      </c>
      <c r="I15" s="4">
        <f>Tableau1[[#This Row],[Mass within the product (g)]]-Tableau1[[#This Row],[Mass in EIME (g)]]</f>
        <v>1.5767514999999999</v>
      </c>
      <c r="J15" s="2"/>
    </row>
    <row r="16" spans="1:10" x14ac:dyDescent="0.3">
      <c r="A16" t="s">
        <v>20</v>
      </c>
      <c r="B16">
        <v>0</v>
      </c>
      <c r="C16">
        <v>0</v>
      </c>
      <c r="D16">
        <v>2</v>
      </c>
      <c r="E16" t="s">
        <v>42</v>
      </c>
      <c r="F16" s="2">
        <f>Tableau1[[#This Row],[Concentration (g.T-1)]]/1000000*$B$51</f>
        <v>2.6930000000000001E-3</v>
      </c>
      <c r="G16">
        <v>5</v>
      </c>
      <c r="H16" s="2"/>
      <c r="I16" s="4">
        <f>Tableau1[[#This Row],[Mass within the product (g)]]-Tableau1[[#This Row],[Mass in EIME (g)]]</f>
        <v>2.6930000000000001E-3</v>
      </c>
      <c r="J16" s="2"/>
    </row>
    <row r="17" spans="1:10" x14ac:dyDescent="0.3">
      <c r="A17" t="s">
        <v>41</v>
      </c>
      <c r="B17">
        <v>0</v>
      </c>
      <c r="C17">
        <v>0</v>
      </c>
      <c r="D17">
        <v>2</v>
      </c>
      <c r="E17" t="s">
        <v>42</v>
      </c>
      <c r="F17" s="2">
        <f>Tableau1[[#This Row],[Concentration (g.T-1)]]/1000000*$B$51</f>
        <v>2.6930000000000001E-3</v>
      </c>
      <c r="G17">
        <v>5</v>
      </c>
      <c r="H17" s="2"/>
      <c r="I17" s="4">
        <f>Tableau1[[#This Row],[Mass within the product (g)]]-Tableau1[[#This Row],[Mass in EIME (g)]]</f>
        <v>2.6930000000000001E-3</v>
      </c>
      <c r="J17" s="2"/>
    </row>
    <row r="18" spans="1:10" x14ac:dyDescent="0.3">
      <c r="A18" t="s">
        <v>21</v>
      </c>
      <c r="B18">
        <v>0.01</v>
      </c>
      <c r="C18">
        <v>0</v>
      </c>
      <c r="D18">
        <v>73</v>
      </c>
      <c r="F18" s="2">
        <f>Tableau1[[#This Row],[Concentration (g.T-1)]]/1000000*$B$51</f>
        <v>9.8294499999999993E-2</v>
      </c>
      <c r="G18">
        <v>30</v>
      </c>
      <c r="H18" s="2">
        <v>0</v>
      </c>
      <c r="I18" s="4">
        <f>Tableau1[[#This Row],[Mass within the product (g)]]-Tableau1[[#This Row],[Mass in EIME (g)]]</f>
        <v>9.8294499999999993E-2</v>
      </c>
      <c r="J18" s="2"/>
    </row>
    <row r="19" spans="1:10" x14ac:dyDescent="0.3">
      <c r="A19" t="s">
        <v>22</v>
      </c>
      <c r="B19">
        <v>0.01</v>
      </c>
      <c r="C19">
        <v>0</v>
      </c>
      <c r="D19">
        <v>64</v>
      </c>
      <c r="F19" s="2">
        <f>Tableau1[[#This Row],[Concentration (g.T-1)]]/1000000*$B$51</f>
        <v>8.6176000000000003E-2</v>
      </c>
      <c r="G19">
        <v>30</v>
      </c>
      <c r="H19" s="2"/>
      <c r="I19" s="4">
        <f>Tableau1[[#This Row],[Mass within the product (g)]]-Tableau1[[#This Row],[Mass in EIME (g)]]</f>
        <v>8.6176000000000003E-2</v>
      </c>
      <c r="J19" s="2"/>
    </row>
    <row r="20" spans="1:10" x14ac:dyDescent="0.3">
      <c r="A20" t="s">
        <v>23</v>
      </c>
      <c r="B20">
        <v>0.02</v>
      </c>
      <c r="C20">
        <v>0</v>
      </c>
      <c r="D20">
        <v>185</v>
      </c>
      <c r="F20" s="2">
        <f>Tableau1[[#This Row],[Concentration (g.T-1)]]/1000000*$B$51</f>
        <v>0.2491025</v>
      </c>
      <c r="G20">
        <v>5</v>
      </c>
      <c r="H20" s="2"/>
      <c r="I20" s="6">
        <f>Tableau1[[#This Row],[Mass within the product (g)]]-Tableau1[[#This Row],[Mass in EIME (g)]]</f>
        <v>0.2491025</v>
      </c>
      <c r="J20" s="2" t="s">
        <v>79</v>
      </c>
    </row>
    <row r="21" spans="1:10" x14ac:dyDescent="0.3">
      <c r="A21" t="s">
        <v>24</v>
      </c>
      <c r="B21">
        <v>0.64</v>
      </c>
      <c r="C21">
        <v>0.02</v>
      </c>
      <c r="D21">
        <v>6351</v>
      </c>
      <c r="F21" s="2">
        <f>Tableau1[[#This Row],[Concentration (g.T-1)]]/1000000*$B$51</f>
        <v>8.5516214999999995</v>
      </c>
      <c r="G21">
        <v>5</v>
      </c>
      <c r="H21" s="2">
        <v>0</v>
      </c>
      <c r="I21" s="4">
        <f>Tableau1[[#This Row],[Mass within the product (g)]]-Tableau1[[#This Row],[Mass in EIME (g)]]</f>
        <v>8.5516214999999995</v>
      </c>
      <c r="J21" s="2"/>
    </row>
    <row r="22" spans="1:10" x14ac:dyDescent="0.3">
      <c r="A22" t="s">
        <v>25</v>
      </c>
      <c r="B22">
        <v>0.01</v>
      </c>
      <c r="C22">
        <v>0</v>
      </c>
      <c r="D22">
        <v>94</v>
      </c>
      <c r="F22" s="2">
        <f>Tableau1[[#This Row],[Concentration (g.T-1)]]/1000000*$B$51</f>
        <v>0.12657099999999999</v>
      </c>
      <c r="G22">
        <v>30</v>
      </c>
      <c r="H22" s="2">
        <v>0</v>
      </c>
      <c r="I22" s="4">
        <f>Tableau1[[#This Row],[Mass within the product (g)]]-Tableau1[[#This Row],[Mass in EIME (g)]]</f>
        <v>0.12657099999999999</v>
      </c>
      <c r="J22" s="2"/>
    </row>
    <row r="23" spans="1:10" x14ac:dyDescent="0.3">
      <c r="A23" t="s">
        <v>26</v>
      </c>
      <c r="B23">
        <v>0</v>
      </c>
      <c r="C23">
        <v>0</v>
      </c>
      <c r="D23">
        <v>36</v>
      </c>
      <c r="E23" t="s">
        <v>42</v>
      </c>
      <c r="F23" s="2">
        <f>Tableau1[[#This Row],[Concentration (g.T-1)]]/1000000*$B$51</f>
        <v>4.8474000000000003E-2</v>
      </c>
      <c r="G23">
        <v>0</v>
      </c>
      <c r="H23" s="2">
        <v>0</v>
      </c>
      <c r="I23" s="6">
        <f>Tableau1[[#This Row],[Mass within the product (g)]]-Tableau1[[#This Row],[Mass in EIME (g)]]</f>
        <v>4.8474000000000003E-2</v>
      </c>
      <c r="J23" s="2" t="s">
        <v>80</v>
      </c>
    </row>
    <row r="24" spans="1:10" x14ac:dyDescent="0.3">
      <c r="A24" t="s">
        <v>27</v>
      </c>
      <c r="B24">
        <v>0</v>
      </c>
      <c r="C24">
        <v>0</v>
      </c>
      <c r="D24">
        <v>37</v>
      </c>
      <c r="E24" t="s">
        <v>42</v>
      </c>
      <c r="F24" s="2">
        <f>Tableau1[[#This Row],[Concentration (g.T-1)]]/1000000*$B$51</f>
        <v>4.9820499999999997E-2</v>
      </c>
      <c r="G24">
        <v>0</v>
      </c>
      <c r="H24" s="2"/>
      <c r="I24" s="6">
        <f>Tableau1[[#This Row],[Mass within the product (g)]]-Tableau1[[#This Row],[Mass in EIME (g)]]</f>
        <v>4.9820499999999997E-2</v>
      </c>
      <c r="J24" s="2" t="s">
        <v>81</v>
      </c>
    </row>
    <row r="25" spans="1:10" x14ac:dyDescent="0.3">
      <c r="A25" t="s">
        <v>28</v>
      </c>
      <c r="B25">
        <v>0</v>
      </c>
      <c r="C25">
        <v>0</v>
      </c>
      <c r="D25">
        <v>49</v>
      </c>
      <c r="E25" t="s">
        <v>42</v>
      </c>
      <c r="F25" s="2">
        <f>Tableau1[[#This Row],[Concentration (g.T-1)]]/1000000*$B$51</f>
        <v>6.5978499999999995E-2</v>
      </c>
      <c r="G25">
        <v>0</v>
      </c>
      <c r="H25" s="2"/>
      <c r="I25" s="4">
        <f>Tableau1[[#This Row],[Mass within the product (g)]]-Tableau1[[#This Row],[Mass in EIME (g)]]</f>
        <v>6.5978499999999995E-2</v>
      </c>
      <c r="J25" s="2"/>
    </row>
    <row r="26" spans="1:10" x14ac:dyDescent="0.3">
      <c r="A26" t="s">
        <v>29</v>
      </c>
      <c r="B26">
        <v>0</v>
      </c>
      <c r="C26">
        <v>0</v>
      </c>
      <c r="D26">
        <v>45</v>
      </c>
      <c r="E26" t="s">
        <v>42</v>
      </c>
      <c r="F26" s="2">
        <f>Tableau1[[#This Row],[Concentration (g.T-1)]]/1000000*$B$51</f>
        <v>6.0592500000000001E-2</v>
      </c>
      <c r="G26">
        <v>0</v>
      </c>
      <c r="H26" s="2"/>
      <c r="I26" s="6">
        <f>Tableau1[[#This Row],[Mass within the product (g)]]-Tableau1[[#This Row],[Mass in EIME (g)]]</f>
        <v>6.0592500000000001E-2</v>
      </c>
      <c r="J26" s="2" t="s">
        <v>82</v>
      </c>
    </row>
    <row r="27" spans="1:10" x14ac:dyDescent="0.3">
      <c r="A27" t="s">
        <v>30</v>
      </c>
      <c r="B27">
        <v>0.68</v>
      </c>
      <c r="C27">
        <v>0.18</v>
      </c>
      <c r="D27">
        <v>6836</v>
      </c>
      <c r="F27" s="2">
        <f>Tableau1[[#This Row],[Concentration (g.T-1)]]/1000000*$B$51</f>
        <v>9.2046740000000007</v>
      </c>
      <c r="G27">
        <v>30</v>
      </c>
      <c r="H27" s="2">
        <v>0</v>
      </c>
      <c r="I27" s="4">
        <f>Tableau1[[#This Row],[Mass within the product (g)]]-Tableau1[[#This Row],[Mass in EIME (g)]]</f>
        <v>9.2046740000000007</v>
      </c>
      <c r="J27" s="2"/>
    </row>
    <row r="28" spans="1:10" x14ac:dyDescent="0.3">
      <c r="A28" t="s">
        <v>31</v>
      </c>
      <c r="B28">
        <v>0</v>
      </c>
      <c r="C28">
        <v>0</v>
      </c>
      <c r="D28">
        <v>4</v>
      </c>
      <c r="E28" t="s">
        <v>42</v>
      </c>
      <c r="F28" s="2">
        <f>Tableau1[[#This Row],[Concentration (g.T-1)]]/1000000*$B$51</f>
        <v>5.3860000000000002E-3</v>
      </c>
      <c r="G28">
        <v>5</v>
      </c>
      <c r="H28" s="2"/>
      <c r="I28" s="4">
        <f>Tableau1[[#This Row],[Mass within the product (g)]]-Tableau1[[#This Row],[Mass in EIME (g)]]</f>
        <v>5.3860000000000002E-3</v>
      </c>
      <c r="J28" s="2"/>
    </row>
    <row r="29" spans="1:10" x14ac:dyDescent="0.3">
      <c r="A29" t="s">
        <v>32</v>
      </c>
      <c r="B29">
        <v>0.01</v>
      </c>
      <c r="C29">
        <v>0</v>
      </c>
      <c r="D29">
        <v>60</v>
      </c>
      <c r="F29" s="2">
        <f>Tableau1[[#This Row],[Concentration (g.T-1)]]/1000000*$B$51</f>
        <v>8.0790000000000001E-2</v>
      </c>
      <c r="G29">
        <v>5</v>
      </c>
      <c r="H29" s="2">
        <v>0</v>
      </c>
      <c r="I29" s="4">
        <f>Tableau1[[#This Row],[Mass within the product (g)]]-Tableau1[[#This Row],[Mass in EIME (g)]]</f>
        <v>8.0790000000000001E-2</v>
      </c>
      <c r="J29" s="2"/>
    </row>
    <row r="30" spans="1:10" x14ac:dyDescent="0.3">
      <c r="A30" t="s">
        <v>33</v>
      </c>
      <c r="B30">
        <v>0</v>
      </c>
      <c r="C30">
        <v>0</v>
      </c>
      <c r="D30">
        <v>13</v>
      </c>
      <c r="E30" t="s">
        <v>42</v>
      </c>
      <c r="F30" s="2">
        <f>Tableau1[[#This Row],[Concentration (g.T-1)]]/1000000*$B$51</f>
        <v>1.7504499999999999E-2</v>
      </c>
      <c r="G30">
        <v>0</v>
      </c>
      <c r="H30" s="2"/>
      <c r="I30" s="6">
        <f>Tableau1[[#This Row],[Mass within the product (g)]]-Tableau1[[#This Row],[Mass in EIME (g)]]</f>
        <v>1.7504499999999999E-2</v>
      </c>
      <c r="J30" s="2" t="s">
        <v>83</v>
      </c>
    </row>
    <row r="31" spans="1:10" x14ac:dyDescent="0.3">
      <c r="A31" t="s">
        <v>34</v>
      </c>
      <c r="B31">
        <v>0</v>
      </c>
      <c r="C31">
        <v>0</v>
      </c>
      <c r="D31">
        <v>6</v>
      </c>
      <c r="E31" t="s">
        <v>42</v>
      </c>
      <c r="F31" s="2">
        <f>Tableau1[[#This Row],[Concentration (g.T-1)]]/1000000*$B$51</f>
        <v>8.0789999999999994E-3</v>
      </c>
      <c r="G31">
        <v>5</v>
      </c>
      <c r="H31" s="2"/>
      <c r="I31" s="6">
        <f>Tableau1[[#This Row],[Mass within the product (g)]]-Tableau1[[#This Row],[Mass in EIME (g)]]</f>
        <v>8.0789999999999994E-3</v>
      </c>
      <c r="J31" s="2" t="s">
        <v>84</v>
      </c>
    </row>
    <row r="32" spans="1:10" x14ac:dyDescent="0.3">
      <c r="A32" t="s">
        <v>35</v>
      </c>
      <c r="B32">
        <v>0.02</v>
      </c>
      <c r="C32">
        <v>0.01</v>
      </c>
      <c r="D32">
        <v>241</v>
      </c>
      <c r="F32" s="2">
        <f>Tableau1[[#This Row],[Concentration (g.T-1)]]/1000000*$B$51</f>
        <v>0.32450650000000003</v>
      </c>
      <c r="G32">
        <v>30</v>
      </c>
      <c r="H32" s="2">
        <v>0</v>
      </c>
      <c r="I32" s="4">
        <f>Tableau1[[#This Row],[Mass within the product (g)]]-Tableau1[[#This Row],[Mass in EIME (g)]]</f>
        <v>0.32450650000000003</v>
      </c>
      <c r="J32" s="2"/>
    </row>
    <row r="33" spans="1:10" x14ac:dyDescent="0.3">
      <c r="A33" t="s">
        <v>36</v>
      </c>
      <c r="B33">
        <v>0</v>
      </c>
      <c r="D33">
        <f>Tableau1[[#This Row],[Concentration (%wt)]]/100*1000000</f>
        <v>0</v>
      </c>
      <c r="F33" s="2">
        <f>Tableau1[[#This Row],[Concentration (g.T-1)]]/1000000*$B$51</f>
        <v>0</v>
      </c>
      <c r="G33">
        <v>5</v>
      </c>
      <c r="H33" s="2"/>
      <c r="I33" s="2">
        <f>Tableau1[[#This Row],[Mass within the product (g)]]-Tableau1[[#This Row],[Mass in EIME (g)]]</f>
        <v>0</v>
      </c>
      <c r="J33" s="2"/>
    </row>
    <row r="34" spans="1:10" x14ac:dyDescent="0.3">
      <c r="A34" t="s">
        <v>37</v>
      </c>
      <c r="B34">
        <v>0</v>
      </c>
      <c r="D34">
        <f>Tableau1[[#This Row],[Concentration (%wt)]]/100*1000000</f>
        <v>0</v>
      </c>
      <c r="F34" s="2">
        <f>Tableau1[[#This Row],[Concentration (g.T-1)]]/1000000*$B$51</f>
        <v>0</v>
      </c>
      <c r="G34">
        <v>5</v>
      </c>
      <c r="H34" s="2"/>
      <c r="I34" s="2">
        <f>Tableau1[[#This Row],[Mass within the product (g)]]-Tableau1[[#This Row],[Mass in EIME (g)]]</f>
        <v>0</v>
      </c>
      <c r="J34" s="2"/>
    </row>
    <row r="35" spans="1:10" x14ac:dyDescent="0.3">
      <c r="A35" t="s">
        <v>38</v>
      </c>
      <c r="B35">
        <v>1.73</v>
      </c>
      <c r="D35">
        <f>Tableau1[[#This Row],[Concentration (%wt)]]/100*1000000</f>
        <v>17300</v>
      </c>
      <c r="F35" s="2">
        <f>Tableau1[[#This Row],[Concentration (g.T-1)]]/1000000*$B$51</f>
        <v>23.294449999999998</v>
      </c>
      <c r="G35">
        <v>5</v>
      </c>
      <c r="H35" s="2"/>
      <c r="I35" s="2">
        <f>Tableau1[[#This Row],[Mass within the product (g)]]-Tableau1[[#This Row],[Mass in EIME (g)]]</f>
        <v>23.294449999999998</v>
      </c>
      <c r="J35" s="2"/>
    </row>
    <row r="36" spans="1:10" x14ac:dyDescent="0.3">
      <c r="A36" t="s">
        <v>55</v>
      </c>
      <c r="F36" s="2">
        <f>Tableau1[[#This Row],[Concentration (g.T-1)]]/1000000*$B$51</f>
        <v>0</v>
      </c>
      <c r="H36" s="2">
        <v>72</v>
      </c>
      <c r="I36" s="4">
        <f>Tableau1[[#This Row],[Mass within the product (g)]]-Tableau1[[#This Row],[Mass in EIME (g)]]</f>
        <v>-72</v>
      </c>
      <c r="J36" s="2" t="s">
        <v>69</v>
      </c>
    </row>
    <row r="37" spans="1:10" x14ac:dyDescent="0.3">
      <c r="A37" t="s">
        <v>56</v>
      </c>
      <c r="F37" s="2">
        <f>Tableau1[[#This Row],[Concentration (g.T-1)]]/1000000*$B$51</f>
        <v>0</v>
      </c>
      <c r="H37" s="2">
        <v>0</v>
      </c>
      <c r="I37" s="4">
        <f>Tableau1[[#This Row],[Mass within the product (g)]]-Tableau1[[#This Row],[Mass in EIME (g)]]</f>
        <v>0</v>
      </c>
      <c r="J37" s="2" t="s">
        <v>70</v>
      </c>
    </row>
    <row r="38" spans="1:10" x14ac:dyDescent="0.3">
      <c r="A38" t="s">
        <v>57</v>
      </c>
      <c r="F38" s="2">
        <f>Tableau1[[#This Row],[Concentration (g.T-1)]]/1000000*$B$51</f>
        <v>0</v>
      </c>
      <c r="H38" s="2">
        <v>0</v>
      </c>
      <c r="I38" s="4">
        <f>Tableau1[[#This Row],[Mass within the product (g)]]-Tableau1[[#This Row],[Mass in EIME (g)]]</f>
        <v>0</v>
      </c>
      <c r="J38" s="2" t="s">
        <v>70</v>
      </c>
    </row>
    <row r="39" spans="1:10" x14ac:dyDescent="0.3">
      <c r="A39" t="s">
        <v>58</v>
      </c>
      <c r="F39" s="2">
        <f>Tableau1[[#This Row],[Concentration (g.T-1)]]/1000000*$B$51</f>
        <v>0</v>
      </c>
      <c r="H39" s="2">
        <v>0</v>
      </c>
      <c r="I39" s="4">
        <f>Tableau1[[#This Row],[Mass within the product (g)]]-Tableau1[[#This Row],[Mass in EIME (g)]]</f>
        <v>0</v>
      </c>
      <c r="J39" s="2" t="s">
        <v>70</v>
      </c>
    </row>
    <row r="40" spans="1:10" x14ac:dyDescent="0.3">
      <c r="A40" t="s">
        <v>59</v>
      </c>
      <c r="F40" s="2">
        <f>Tableau1[[#This Row],[Concentration (g.T-1)]]/1000000*$B$51</f>
        <v>0</v>
      </c>
      <c r="H40" s="2">
        <v>0</v>
      </c>
      <c r="I40" s="4">
        <f>Tableau1[[#This Row],[Mass within the product (g)]]-Tableau1[[#This Row],[Mass in EIME (g)]]</f>
        <v>0</v>
      </c>
      <c r="J40" s="2" t="s">
        <v>70</v>
      </c>
    </row>
    <row r="41" spans="1:10" x14ac:dyDescent="0.3">
      <c r="A41" t="s">
        <v>60</v>
      </c>
      <c r="F41" s="2">
        <f>Tableau1[[#This Row],[Concentration (g.T-1)]]/1000000*$B$51</f>
        <v>0</v>
      </c>
      <c r="H41" s="2">
        <v>0</v>
      </c>
      <c r="I41" s="4">
        <f>Tableau1[[#This Row],[Mass within the product (g)]]-Tableau1[[#This Row],[Mass in EIME (g)]]</f>
        <v>0</v>
      </c>
      <c r="J41" s="2" t="s">
        <v>70</v>
      </c>
    </row>
    <row r="42" spans="1:10" x14ac:dyDescent="0.3">
      <c r="A42" t="s">
        <v>61</v>
      </c>
      <c r="F42" s="2">
        <f>Tableau1[[#This Row],[Concentration (g.T-1)]]/1000000*$B$51</f>
        <v>0</v>
      </c>
      <c r="H42" s="2">
        <v>0</v>
      </c>
      <c r="I42" s="4">
        <f>Tableau1[[#This Row],[Mass within the product (g)]]-Tableau1[[#This Row],[Mass in EIME (g)]]</f>
        <v>0</v>
      </c>
      <c r="J42" s="2" t="s">
        <v>68</v>
      </c>
    </row>
    <row r="43" spans="1:10" x14ac:dyDescent="0.3">
      <c r="A43" t="s">
        <v>62</v>
      </c>
      <c r="F43" s="2">
        <f>Tableau1[[#This Row],[Concentration (g.T-1)]]/1000000*$B$51</f>
        <v>0</v>
      </c>
      <c r="H43" s="2">
        <v>0</v>
      </c>
      <c r="I43" s="4">
        <f>Tableau1[[#This Row],[Mass within the product (g)]]-Tableau1[[#This Row],[Mass in EIME (g)]]</f>
        <v>0</v>
      </c>
      <c r="J43" s="2" t="s">
        <v>70</v>
      </c>
    </row>
    <row r="44" spans="1:10" x14ac:dyDescent="0.3">
      <c r="A44" t="s">
        <v>63</v>
      </c>
      <c r="F44" s="2">
        <f>Tableau1[[#This Row],[Concentration (g.T-1)]]/1000000*$B$51</f>
        <v>0</v>
      </c>
      <c r="H44" s="2">
        <v>0</v>
      </c>
      <c r="I44" s="4">
        <f>Tableau1[[#This Row],[Mass within the product (g)]]-Tableau1[[#This Row],[Mass in EIME (g)]]</f>
        <v>0</v>
      </c>
      <c r="J44" s="2" t="s">
        <v>70</v>
      </c>
    </row>
    <row r="45" spans="1:10" x14ac:dyDescent="0.3">
      <c r="A45" t="s">
        <v>64</v>
      </c>
      <c r="F45" s="2">
        <f>Tableau1[[#This Row],[Concentration (g.T-1)]]/1000000*$B$51</f>
        <v>0</v>
      </c>
      <c r="H45" s="2">
        <v>0</v>
      </c>
      <c r="I45" s="4">
        <f>Tableau1[[#This Row],[Mass within the product (g)]]-Tableau1[[#This Row],[Mass in EIME (g)]]</f>
        <v>0</v>
      </c>
      <c r="J45" s="2" t="s">
        <v>70</v>
      </c>
    </row>
    <row r="46" spans="1:10" x14ac:dyDescent="0.3">
      <c r="A46" t="s">
        <v>65</v>
      </c>
      <c r="F46" s="2">
        <f>Tableau1[[#This Row],[Concentration (g.T-1)]]/1000000*$B$51</f>
        <v>0</v>
      </c>
      <c r="H46" s="2">
        <v>0</v>
      </c>
      <c r="I46" s="4">
        <f>Tableau1[[#This Row],[Mass within the product (g)]]-Tableau1[[#This Row],[Mass in EIME (g)]]</f>
        <v>0</v>
      </c>
      <c r="J46" s="2" t="s">
        <v>70</v>
      </c>
    </row>
    <row r="47" spans="1:10" x14ac:dyDescent="0.3">
      <c r="A47" t="s">
        <v>66</v>
      </c>
      <c r="F47" s="2">
        <f>Tableau1[[#This Row],[Concentration (g.T-1)]]/1000000*$B$51</f>
        <v>0</v>
      </c>
      <c r="H47" s="2">
        <v>0</v>
      </c>
      <c r="I47" s="4">
        <f>Tableau1[[#This Row],[Mass within the product (g)]]-Tableau1[[#This Row],[Mass in EIME (g)]]</f>
        <v>0</v>
      </c>
      <c r="J47" s="2" t="s">
        <v>70</v>
      </c>
    </row>
    <row r="51" spans="1:7" x14ac:dyDescent="0.3">
      <c r="A51" t="s">
        <v>40</v>
      </c>
      <c r="B51">
        <v>1346.5</v>
      </c>
      <c r="F51" s="5">
        <f>SUM(F32,F28:F29,F25,F21:F22,F13:F19,F10:F11,F7,F2:F4,F27)/SUM(F2:F35)</f>
        <v>0.98111986848604971</v>
      </c>
      <c r="G51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E165-3BB7-436C-B1C4-35E44B616179}">
  <dimension ref="A1:J51"/>
  <sheetViews>
    <sheetView showGridLines="0" workbookViewId="0">
      <selection activeCell="I31" sqref="I31"/>
    </sheetView>
  </sheetViews>
  <sheetFormatPr baseColWidth="10" defaultRowHeight="14.4" x14ac:dyDescent="0.3"/>
  <cols>
    <col min="1" max="1" width="20.21875" bestFit="1" customWidth="1"/>
    <col min="2" max="2" width="14.88671875" customWidth="1"/>
    <col min="3" max="3" width="10.77734375" customWidth="1"/>
    <col min="4" max="4" width="15.21875" customWidth="1"/>
    <col min="5" max="5" width="65.109375" customWidth="1"/>
    <col min="6" max="6" width="25.109375" customWidth="1"/>
    <col min="7" max="7" width="12.109375" bestFit="1" customWidth="1"/>
    <col min="8" max="8" width="17.21875" bestFit="1" customWidth="1"/>
    <col min="9" max="9" width="15.109375" bestFit="1" customWidth="1"/>
  </cols>
  <sheetData>
    <row r="1" spans="1:10" x14ac:dyDescent="0.3">
      <c r="A1" t="s">
        <v>43</v>
      </c>
      <c r="B1" t="s">
        <v>44</v>
      </c>
      <c r="C1" t="s">
        <v>5</v>
      </c>
      <c r="D1" t="s">
        <v>45</v>
      </c>
      <c r="E1" t="s">
        <v>39</v>
      </c>
      <c r="F1" t="s">
        <v>46</v>
      </c>
      <c r="G1" t="s">
        <v>47</v>
      </c>
      <c r="H1" t="s">
        <v>50</v>
      </c>
      <c r="I1" t="s">
        <v>51</v>
      </c>
      <c r="J1" t="s">
        <v>67</v>
      </c>
    </row>
    <row r="2" spans="1:10" x14ac:dyDescent="0.3">
      <c r="A2" t="s">
        <v>6</v>
      </c>
      <c r="B2">
        <v>0.05</v>
      </c>
      <c r="C2">
        <v>0</v>
      </c>
      <c r="D2">
        <v>465</v>
      </c>
      <c r="F2" s="2">
        <f>Tableau13[[#This Row],[Concentration (g.T-1)]]/1000000*$B$51</f>
        <v>0.10202100000000001</v>
      </c>
      <c r="G2">
        <v>0</v>
      </c>
      <c r="H2" s="2">
        <f>0.849</f>
        <v>0.84899999999999998</v>
      </c>
      <c r="I2" s="4">
        <f>Tableau13[[#This Row],[Mass within the product (g)]]-Tableau13[[#This Row],[Mass in EIME (g)]]</f>
        <v>-0.74697899999999995</v>
      </c>
      <c r="J2" s="2"/>
    </row>
    <row r="3" spans="1:10" x14ac:dyDescent="0.3">
      <c r="A3" t="s">
        <v>7</v>
      </c>
      <c r="B3">
        <v>1.98</v>
      </c>
      <c r="C3">
        <v>0.11</v>
      </c>
      <c r="D3">
        <v>19758</v>
      </c>
      <c r="F3" s="2">
        <f>Tableau13[[#This Row],[Concentration (g.T-1)]]/1000000*$B$51</f>
        <v>4.3349052000000006</v>
      </c>
      <c r="G3">
        <v>30</v>
      </c>
      <c r="H3" s="2">
        <f>0.00305-0.000409+0.255</f>
        <v>0.25764100000000001</v>
      </c>
      <c r="I3" s="4">
        <f>Tableau13[[#This Row],[Mass within the product (g)]]-Tableau13[[#This Row],[Mass in EIME (g)]]</f>
        <v>4.0772642000000001</v>
      </c>
      <c r="J3" s="2"/>
    </row>
    <row r="4" spans="1:10" x14ac:dyDescent="0.3">
      <c r="A4" t="s">
        <v>8</v>
      </c>
      <c r="B4">
        <v>0</v>
      </c>
      <c r="C4">
        <v>0</v>
      </c>
      <c r="D4">
        <v>27</v>
      </c>
      <c r="E4" t="s">
        <v>42</v>
      </c>
      <c r="F4" s="2">
        <f>Tableau13[[#This Row],[Concentration (g.T-1)]]/1000000*$B$51</f>
        <v>5.9237999999999999E-3</v>
      </c>
      <c r="G4">
        <v>5</v>
      </c>
      <c r="H4" s="2"/>
      <c r="I4" s="6">
        <f>Tableau13[[#This Row],[Mass within the product (g)]]-Tableau13[[#This Row],[Mass in EIME (g)]]</f>
        <v>5.9237999999999999E-3</v>
      </c>
      <c r="J4" s="2" t="s">
        <v>74</v>
      </c>
    </row>
    <row r="5" spans="1:10" x14ac:dyDescent="0.3">
      <c r="A5" t="s">
        <v>9</v>
      </c>
      <c r="B5">
        <v>0</v>
      </c>
      <c r="C5">
        <v>0</v>
      </c>
      <c r="D5">
        <v>46</v>
      </c>
      <c r="F5" s="2">
        <f>Tableau13[[#This Row],[Concentration (g.T-1)]]/1000000*$B$51</f>
        <v>1.00924E-2</v>
      </c>
      <c r="G5">
        <v>0</v>
      </c>
      <c r="H5" s="2"/>
      <c r="I5" s="4">
        <f>Tableau13[[#This Row],[Mass within the product (g)]]-Tableau13[[#This Row],[Mass in EIME (g)]]</f>
        <v>1.00924E-2</v>
      </c>
      <c r="J5" s="2"/>
    </row>
    <row r="6" spans="1:10" x14ac:dyDescent="0.3">
      <c r="A6" t="s">
        <v>10</v>
      </c>
      <c r="B6">
        <v>0.2</v>
      </c>
      <c r="C6">
        <v>0.01</v>
      </c>
      <c r="D6">
        <v>1961</v>
      </c>
      <c r="F6" s="2">
        <f>Tableau13[[#This Row],[Concentration (g.T-1)]]/1000000*$B$51</f>
        <v>0.43024340000000005</v>
      </c>
      <c r="G6">
        <v>5</v>
      </c>
      <c r="H6" s="2"/>
      <c r="I6" s="6">
        <f>Tableau13[[#This Row],[Mass within the product (g)]]-Tableau13[[#This Row],[Mass in EIME (g)]]</f>
        <v>0.43024340000000005</v>
      </c>
      <c r="J6" s="2" t="s">
        <v>75</v>
      </c>
    </row>
    <row r="7" spans="1:10" x14ac:dyDescent="0.3">
      <c r="A7" t="s">
        <v>11</v>
      </c>
      <c r="B7">
        <v>1.58</v>
      </c>
      <c r="C7">
        <v>0.05</v>
      </c>
      <c r="D7">
        <v>15833</v>
      </c>
      <c r="F7" s="2">
        <f>Tableau13[[#This Row],[Concentration (g.T-1)]]/1000000*$B$51</f>
        <v>3.4737602000000001</v>
      </c>
      <c r="G7">
        <v>5</v>
      </c>
      <c r="H7" s="2">
        <f>1.01-0.135</f>
        <v>0.875</v>
      </c>
      <c r="I7" s="4">
        <f>Tableau13[[#This Row],[Mass within the product (g)]]-Tableau13[[#This Row],[Mass in EIME (g)]]</f>
        <v>2.5987602000000001</v>
      </c>
      <c r="J7" s="2"/>
    </row>
    <row r="8" spans="1:10" x14ac:dyDescent="0.3">
      <c r="A8" t="s">
        <v>12</v>
      </c>
      <c r="B8">
        <v>0</v>
      </c>
      <c r="C8">
        <v>0</v>
      </c>
      <c r="D8">
        <v>1</v>
      </c>
      <c r="E8" t="s">
        <v>42</v>
      </c>
      <c r="F8" s="2">
        <f>Tableau13[[#This Row],[Concentration (g.T-1)]]/1000000*$B$51</f>
        <v>2.1939999999999999E-4</v>
      </c>
      <c r="G8">
        <v>5</v>
      </c>
      <c r="H8" s="2"/>
      <c r="I8" s="6">
        <f>Tableau13[[#This Row],[Mass within the product (g)]]-Tableau13[[#This Row],[Mass in EIME (g)]]</f>
        <v>2.1939999999999999E-4</v>
      </c>
      <c r="J8" s="2" t="s">
        <v>76</v>
      </c>
    </row>
    <row r="9" spans="1:10" x14ac:dyDescent="0.3">
      <c r="A9" t="s">
        <v>13</v>
      </c>
      <c r="B9">
        <v>0.34</v>
      </c>
      <c r="C9">
        <v>0.08</v>
      </c>
      <c r="D9">
        <v>3388</v>
      </c>
      <c r="F9" s="2">
        <f>Tableau13[[#This Row],[Concentration (g.T-1)]]/1000000*$B$51</f>
        <v>0.74332719999999997</v>
      </c>
      <c r="G9">
        <v>5</v>
      </c>
      <c r="H9" s="2"/>
      <c r="I9" s="6">
        <f>Tableau13[[#This Row],[Mass within the product (g)]]-Tableau13[[#This Row],[Mass in EIME (g)]]</f>
        <v>0.74332719999999997</v>
      </c>
      <c r="J9" s="2" t="s">
        <v>77</v>
      </c>
    </row>
    <row r="10" spans="1:10" x14ac:dyDescent="0.3">
      <c r="A10" t="s">
        <v>14</v>
      </c>
      <c r="B10">
        <v>2.12</v>
      </c>
      <c r="C10">
        <v>0.18</v>
      </c>
      <c r="D10">
        <v>21190</v>
      </c>
      <c r="F10" s="2">
        <f>Tableau13[[#This Row],[Concentration (g.T-1)]]/1000000*$B$51</f>
        <v>4.6490860000000005</v>
      </c>
      <c r="G10">
        <v>5</v>
      </c>
      <c r="H10" s="2"/>
      <c r="I10" s="4">
        <f>Tableau13[[#This Row],[Mass within the product (g)]]-Tableau13[[#This Row],[Mass in EIME (g)]]</f>
        <v>4.6490860000000005</v>
      </c>
      <c r="J10" s="2"/>
    </row>
    <row r="11" spans="1:10" x14ac:dyDescent="0.3">
      <c r="A11" t="s">
        <v>15</v>
      </c>
      <c r="B11">
        <v>0</v>
      </c>
      <c r="C11">
        <v>0</v>
      </c>
      <c r="D11">
        <v>5</v>
      </c>
      <c r="E11" t="s">
        <v>42</v>
      </c>
      <c r="F11" s="2">
        <f>Tableau13[[#This Row],[Concentration (g.T-1)]]/1000000*$B$51</f>
        <v>1.0970000000000001E-3</v>
      </c>
      <c r="G11">
        <v>0</v>
      </c>
      <c r="H11" s="2"/>
      <c r="I11" s="4">
        <f>Tableau13[[#This Row],[Mass within the product (g)]]-Tableau13[[#This Row],[Mass in EIME (g)]]</f>
        <v>1.0970000000000001E-3</v>
      </c>
      <c r="J11" s="2"/>
    </row>
    <row r="12" spans="1:10" x14ac:dyDescent="0.3">
      <c r="A12" t="s">
        <v>16</v>
      </c>
      <c r="B12">
        <v>0</v>
      </c>
      <c r="C12">
        <v>0</v>
      </c>
      <c r="D12">
        <v>26</v>
      </c>
      <c r="E12" t="s">
        <v>42</v>
      </c>
      <c r="F12" s="2">
        <f>Tableau13[[#This Row],[Concentration (g.T-1)]]/1000000*$B$51</f>
        <v>5.7044000000000001E-3</v>
      </c>
      <c r="G12">
        <v>5</v>
      </c>
      <c r="H12" s="2"/>
      <c r="I12" s="6">
        <f>Tableau13[[#This Row],[Mass within the product (g)]]-Tableau13[[#This Row],[Mass in EIME (g)]]</f>
        <v>5.7044000000000001E-3</v>
      </c>
      <c r="J12" s="2" t="s">
        <v>78</v>
      </c>
    </row>
    <row r="13" spans="1:10" x14ac:dyDescent="0.3">
      <c r="A13" t="s">
        <v>17</v>
      </c>
      <c r="B13">
        <v>0.16</v>
      </c>
      <c r="C13">
        <v>0.01</v>
      </c>
      <c r="D13">
        <v>1563</v>
      </c>
      <c r="F13" s="2">
        <f>Tableau13[[#This Row],[Concentration (g.T-1)]]/1000000*$B$51</f>
        <v>0.34292220000000001</v>
      </c>
      <c r="G13">
        <v>0</v>
      </c>
      <c r="H13" s="2">
        <f>0.0000336</f>
        <v>3.3599999999999997E-5</v>
      </c>
      <c r="I13" s="4">
        <f>Tableau13[[#This Row],[Mass within the product (g)]]-Tableau13[[#This Row],[Mass in EIME (g)]]</f>
        <v>0.34288859999999999</v>
      </c>
      <c r="J13" s="2"/>
    </row>
    <row r="14" spans="1:10" x14ac:dyDescent="0.3">
      <c r="A14" t="s">
        <v>18</v>
      </c>
      <c r="B14">
        <v>31.29</v>
      </c>
      <c r="C14">
        <v>1.6</v>
      </c>
      <c r="D14">
        <v>312919</v>
      </c>
      <c r="F14" s="2">
        <f>Tableau13[[#This Row],[Concentration (g.T-1)]]/1000000*$B$51</f>
        <v>68.654428600000003</v>
      </c>
      <c r="G14">
        <v>30</v>
      </c>
      <c r="H14" s="2">
        <f>12.6-0.016-2.72</f>
        <v>9.863999999999999</v>
      </c>
      <c r="I14" s="4">
        <f>Tableau13[[#This Row],[Mass within the product (g)]]-Tableau13[[#This Row],[Mass in EIME (g)]]</f>
        <v>58.790428600000006</v>
      </c>
      <c r="J14" s="2"/>
    </row>
    <row r="15" spans="1:10" x14ac:dyDescent="0.3">
      <c r="A15" t="s">
        <v>19</v>
      </c>
      <c r="B15">
        <v>19.02</v>
      </c>
      <c r="C15">
        <v>1.68</v>
      </c>
      <c r="D15">
        <v>190211</v>
      </c>
      <c r="F15" s="2">
        <f>Tableau13[[#This Row],[Concentration (g.T-1)]]/1000000*$B$51</f>
        <v>41.732293399999996</v>
      </c>
      <c r="G15">
        <v>30</v>
      </c>
      <c r="H15" s="2">
        <f>1.02+0.13</f>
        <v>1.1499999999999999</v>
      </c>
      <c r="I15" s="4">
        <f>Tableau13[[#This Row],[Mass within the product (g)]]-Tableau13[[#This Row],[Mass in EIME (g)]]</f>
        <v>40.582293399999998</v>
      </c>
      <c r="J15" s="2"/>
    </row>
    <row r="16" spans="1:10" x14ac:dyDescent="0.3">
      <c r="A16" t="s">
        <v>20</v>
      </c>
      <c r="B16">
        <v>0.01</v>
      </c>
      <c r="C16">
        <v>0</v>
      </c>
      <c r="D16">
        <v>131</v>
      </c>
      <c r="F16" s="2">
        <f>Tableau13[[#This Row],[Concentration (g.T-1)]]/1000000*$B$51</f>
        <v>2.8741400000000004E-2</v>
      </c>
      <c r="G16">
        <v>5</v>
      </c>
      <c r="H16" s="2"/>
      <c r="I16" s="4">
        <f>Tableau13[[#This Row],[Mass within the product (g)]]-Tableau13[[#This Row],[Mass in EIME (g)]]</f>
        <v>2.8741400000000004E-2</v>
      </c>
      <c r="J16" s="2"/>
    </row>
    <row r="17" spans="1:10" x14ac:dyDescent="0.3">
      <c r="A17" t="s">
        <v>41</v>
      </c>
      <c r="B17">
        <v>0</v>
      </c>
      <c r="C17">
        <v>0</v>
      </c>
      <c r="D17">
        <v>2</v>
      </c>
      <c r="E17" t="s">
        <v>42</v>
      </c>
      <c r="F17" s="2">
        <f>Tableau13[[#This Row],[Concentration (g.T-1)]]/1000000*$B$51</f>
        <v>4.3879999999999999E-4</v>
      </c>
      <c r="G17">
        <v>5</v>
      </c>
      <c r="H17" s="2"/>
      <c r="I17" s="4">
        <f>Tableau13[[#This Row],[Mass within the product (g)]]-Tableau13[[#This Row],[Mass in EIME (g)]]</f>
        <v>4.3879999999999999E-4</v>
      </c>
      <c r="J17" s="2"/>
    </row>
    <row r="18" spans="1:10" x14ac:dyDescent="0.3">
      <c r="A18" t="s">
        <v>21</v>
      </c>
      <c r="B18">
        <v>0.08</v>
      </c>
      <c r="C18">
        <v>0.01</v>
      </c>
      <c r="D18">
        <v>847</v>
      </c>
      <c r="F18" s="2">
        <f>Tableau13[[#This Row],[Concentration (g.T-1)]]/1000000*$B$51</f>
        <v>0.18583179999999999</v>
      </c>
      <c r="G18">
        <v>30</v>
      </c>
      <c r="H18" s="2">
        <f>0.00182+0.000457-0.00000612</f>
        <v>2.2708799999999999E-3</v>
      </c>
      <c r="I18" s="4">
        <f>Tableau13[[#This Row],[Mass within the product (g)]]-Tableau13[[#This Row],[Mass in EIME (g)]]</f>
        <v>0.18356091999999999</v>
      </c>
      <c r="J18" s="2"/>
    </row>
    <row r="19" spans="1:10" x14ac:dyDescent="0.3">
      <c r="A19" t="s">
        <v>22</v>
      </c>
      <c r="B19">
        <v>0.03</v>
      </c>
      <c r="C19">
        <v>0</v>
      </c>
      <c r="D19">
        <v>319</v>
      </c>
      <c r="F19" s="2">
        <f>Tableau13[[#This Row],[Concentration (g.T-1)]]/1000000*$B$51</f>
        <v>6.9988599999999998E-2</v>
      </c>
      <c r="G19">
        <v>30</v>
      </c>
      <c r="H19" s="2"/>
      <c r="I19" s="4">
        <f>Tableau13[[#This Row],[Mass within the product (g)]]-Tableau13[[#This Row],[Mass in EIME (g)]]</f>
        <v>6.9988599999999998E-2</v>
      </c>
      <c r="J19" s="2"/>
    </row>
    <row r="20" spans="1:10" x14ac:dyDescent="0.3">
      <c r="A20" t="s">
        <v>23</v>
      </c>
      <c r="B20">
        <v>0.18</v>
      </c>
      <c r="C20">
        <v>0.02</v>
      </c>
      <c r="D20">
        <v>1767</v>
      </c>
      <c r="F20" s="2">
        <f>Tableau13[[#This Row],[Concentration (g.T-1)]]/1000000*$B$51</f>
        <v>0.38767979999999996</v>
      </c>
      <c r="G20">
        <v>5</v>
      </c>
      <c r="H20" s="2"/>
      <c r="I20" s="6">
        <f>Tableau13[[#This Row],[Mass within the product (g)]]-Tableau13[[#This Row],[Mass in EIME (g)]]</f>
        <v>0.38767979999999996</v>
      </c>
      <c r="J20" s="2" t="s">
        <v>79</v>
      </c>
    </row>
    <row r="21" spans="1:10" x14ac:dyDescent="0.3">
      <c r="A21" t="s">
        <v>24</v>
      </c>
      <c r="B21">
        <v>0.94</v>
      </c>
      <c r="C21">
        <v>7.0000000000000007E-2</v>
      </c>
      <c r="D21">
        <v>9355</v>
      </c>
      <c r="F21" s="2">
        <f>Tableau13[[#This Row],[Concentration (g.T-1)]]/1000000*$B$51</f>
        <v>2.0524870000000002</v>
      </c>
      <c r="G21">
        <v>5</v>
      </c>
      <c r="H21" s="2">
        <f>1.46-0.0343</f>
        <v>1.4257</v>
      </c>
      <c r="I21" s="4">
        <f>Tableau13[[#This Row],[Mass within the product (g)]]-Tableau13[[#This Row],[Mass in EIME (g)]]</f>
        <v>0.62678700000000021</v>
      </c>
      <c r="J21" s="2"/>
    </row>
    <row r="22" spans="1:10" x14ac:dyDescent="0.3">
      <c r="A22" t="s">
        <v>25</v>
      </c>
      <c r="B22">
        <v>0.23</v>
      </c>
      <c r="C22">
        <v>0.15</v>
      </c>
      <c r="D22">
        <v>2278</v>
      </c>
      <c r="F22" s="2">
        <f>Tableau13[[#This Row],[Concentration (g.T-1)]]/1000000*$B$51</f>
        <v>0.49979320000000005</v>
      </c>
      <c r="G22">
        <v>30</v>
      </c>
      <c r="H22" s="2">
        <f>0.00118</f>
        <v>1.1800000000000001E-3</v>
      </c>
      <c r="I22" s="4">
        <f>Tableau13[[#This Row],[Mass within the product (g)]]-Tableau13[[#This Row],[Mass in EIME (g)]]</f>
        <v>0.49861320000000003</v>
      </c>
      <c r="J22" s="2"/>
    </row>
    <row r="23" spans="1:10" x14ac:dyDescent="0.3">
      <c r="A23" t="s">
        <v>26</v>
      </c>
      <c r="B23">
        <v>7.0000000000000007E-2</v>
      </c>
      <c r="C23">
        <v>0</v>
      </c>
      <c r="D23">
        <v>681</v>
      </c>
      <c r="F23" s="2">
        <f>Tableau13[[#This Row],[Concentration (g.T-1)]]/1000000*$B$51</f>
        <v>0.1494114</v>
      </c>
      <c r="G23">
        <v>0</v>
      </c>
      <c r="H23" s="2">
        <f>0.000314</f>
        <v>3.1399999999999999E-4</v>
      </c>
      <c r="I23" s="6">
        <f>Tableau13[[#This Row],[Mass within the product (g)]]-Tableau13[[#This Row],[Mass in EIME (g)]]</f>
        <v>0.14909739999999999</v>
      </c>
      <c r="J23" s="2" t="s">
        <v>80</v>
      </c>
    </row>
    <row r="24" spans="1:10" x14ac:dyDescent="0.3">
      <c r="A24" t="s">
        <v>27</v>
      </c>
      <c r="B24">
        <v>0</v>
      </c>
      <c r="C24">
        <v>0</v>
      </c>
      <c r="D24">
        <v>25</v>
      </c>
      <c r="F24" s="2">
        <f>Tableau13[[#This Row],[Concentration (g.T-1)]]/1000000*$B$51</f>
        <v>5.4850000000000003E-3</v>
      </c>
      <c r="G24">
        <v>0</v>
      </c>
      <c r="H24" s="2"/>
      <c r="I24" s="6">
        <f>Tableau13[[#This Row],[Mass within the product (g)]]-Tableau13[[#This Row],[Mass in EIME (g)]]</f>
        <v>5.4850000000000003E-3</v>
      </c>
      <c r="J24" s="2" t="s">
        <v>81</v>
      </c>
    </row>
    <row r="25" spans="1:10" x14ac:dyDescent="0.3">
      <c r="A25" t="s">
        <v>29</v>
      </c>
      <c r="B25">
        <v>0.01</v>
      </c>
      <c r="C25">
        <v>0</v>
      </c>
      <c r="D25">
        <v>144</v>
      </c>
      <c r="F25" s="2">
        <f>Tableau13[[#This Row],[Concentration (g.T-1)]]/1000000*$B$51</f>
        <v>3.1593599999999999E-2</v>
      </c>
      <c r="G25">
        <v>0</v>
      </c>
      <c r="H25" s="2"/>
      <c r="I25" s="6">
        <f>Tableau13[[#This Row],[Mass within the product (g)]]-Tableau13[[#This Row],[Mass in EIME (g)]]</f>
        <v>3.1593599999999999E-2</v>
      </c>
      <c r="J25" s="2" t="s">
        <v>82</v>
      </c>
    </row>
    <row r="26" spans="1:10" x14ac:dyDescent="0.3">
      <c r="A26" t="s">
        <v>28</v>
      </c>
      <c r="B26">
        <v>0.01</v>
      </c>
      <c r="C26">
        <v>0</v>
      </c>
      <c r="D26">
        <v>79</v>
      </c>
      <c r="F26" s="2">
        <f>Tableau13[[#This Row],[Concentration (g.T-1)]]/1000000*$B$51</f>
        <v>1.73326E-2</v>
      </c>
      <c r="G26">
        <v>0</v>
      </c>
      <c r="H26" s="2"/>
      <c r="I26" s="4">
        <f>Tableau13[[#This Row],[Mass within the product (g)]]-Tableau13[[#This Row],[Mass in EIME (g)]]</f>
        <v>1.73326E-2</v>
      </c>
      <c r="J26" s="2"/>
    </row>
    <row r="27" spans="1:10" x14ac:dyDescent="0.3">
      <c r="A27" t="s">
        <v>48</v>
      </c>
      <c r="B27">
        <v>4.2699999999999996</v>
      </c>
      <c r="C27">
        <v>0.87</v>
      </c>
      <c r="D27">
        <v>42690</v>
      </c>
      <c r="F27" s="2">
        <f>Tableau13[[#This Row],[Concentration (g.T-1)]]/1000000*$B$51</f>
        <v>9.3661860000000008</v>
      </c>
      <c r="G27" t="s">
        <v>54</v>
      </c>
      <c r="H27" s="2"/>
      <c r="I27" s="2">
        <f>Tableau13[[#This Row],[Mass within the product (g)]]-Tableau13[[#This Row],[Mass in EIME (g)]]</f>
        <v>9.3661860000000008</v>
      </c>
      <c r="J27" s="2" t="s">
        <v>85</v>
      </c>
    </row>
    <row r="28" spans="1:10" x14ac:dyDescent="0.3">
      <c r="A28" t="s">
        <v>30</v>
      </c>
      <c r="B28">
        <v>3.87</v>
      </c>
      <c r="C28">
        <v>0.13</v>
      </c>
      <c r="D28">
        <v>38746</v>
      </c>
      <c r="F28" s="2">
        <f>Tableau13[[#This Row],[Concentration (g.T-1)]]/1000000*$B$51</f>
        <v>8.5008724000000004</v>
      </c>
      <c r="G28">
        <v>30</v>
      </c>
      <c r="H28" s="2">
        <f>4.48-0.334</f>
        <v>4.1460000000000008</v>
      </c>
      <c r="I28" s="4">
        <f>Tableau13[[#This Row],[Mass within the product (g)]]-Tableau13[[#This Row],[Mass in EIME (g)]]</f>
        <v>4.3548723999999996</v>
      </c>
      <c r="J28" s="2"/>
    </row>
    <row r="29" spans="1:10" x14ac:dyDescent="0.3">
      <c r="A29" t="s">
        <v>32</v>
      </c>
      <c r="B29">
        <v>0.55000000000000004</v>
      </c>
      <c r="C29">
        <v>0.02</v>
      </c>
      <c r="D29">
        <v>5507</v>
      </c>
      <c r="F29" s="2">
        <f>Tableau13[[#This Row],[Concentration (g.T-1)]]/1000000*$B$51</f>
        <v>1.2082358</v>
      </c>
      <c r="G29">
        <v>5</v>
      </c>
      <c r="H29" s="2">
        <f>0.454-0.0607+0.133-0.0178</f>
        <v>0.50849999999999995</v>
      </c>
      <c r="I29" s="4">
        <f>Tableau13[[#This Row],[Mass within the product (g)]]-Tableau13[[#This Row],[Mass in EIME (g)]]</f>
        <v>0.69973580000000002</v>
      </c>
      <c r="J29" s="2"/>
    </row>
    <row r="30" spans="1:10" x14ac:dyDescent="0.3">
      <c r="A30" t="s">
        <v>33</v>
      </c>
      <c r="B30">
        <v>0</v>
      </c>
      <c r="C30">
        <v>0</v>
      </c>
      <c r="D30">
        <v>19</v>
      </c>
      <c r="E30" t="s">
        <v>42</v>
      </c>
      <c r="F30" s="2">
        <f>Tableau13[[#This Row],[Concentration (g.T-1)]]/1000000*$B$51</f>
        <v>4.1686000000000006E-3</v>
      </c>
      <c r="G30">
        <v>0</v>
      </c>
      <c r="H30" s="2"/>
      <c r="I30" s="6">
        <f>Tableau13[[#This Row],[Mass within the product (g)]]-Tableau13[[#This Row],[Mass in EIME (g)]]</f>
        <v>4.1686000000000006E-3</v>
      </c>
      <c r="J30" s="2" t="s">
        <v>83</v>
      </c>
    </row>
    <row r="31" spans="1:10" x14ac:dyDescent="0.3">
      <c r="A31" t="s">
        <v>34</v>
      </c>
      <c r="B31">
        <v>0</v>
      </c>
      <c r="C31">
        <v>0</v>
      </c>
      <c r="D31">
        <v>15</v>
      </c>
      <c r="E31" t="s">
        <v>42</v>
      </c>
      <c r="F31" s="2">
        <f>Tableau13[[#This Row],[Concentration (g.T-1)]]/1000000*$B$51</f>
        <v>3.2910000000000001E-3</v>
      </c>
      <c r="G31">
        <v>5</v>
      </c>
      <c r="H31" s="2"/>
      <c r="I31" s="6">
        <f>Tableau13[[#This Row],[Mass within the product (g)]]-Tableau13[[#This Row],[Mass in EIME (g)]]</f>
        <v>3.2910000000000001E-3</v>
      </c>
      <c r="J31" s="2" t="s">
        <v>84</v>
      </c>
    </row>
    <row r="32" spans="1:10" x14ac:dyDescent="0.3">
      <c r="A32" t="s">
        <v>35</v>
      </c>
      <c r="B32">
        <v>0.31</v>
      </c>
      <c r="C32">
        <v>0.08</v>
      </c>
      <c r="D32">
        <v>3051</v>
      </c>
      <c r="F32" s="2">
        <f>Tableau13[[#This Row],[Concentration (g.T-1)]]/1000000*$B$51</f>
        <v>0.66938940000000002</v>
      </c>
      <c r="G32">
        <v>30</v>
      </c>
      <c r="H32" s="2">
        <f>0.00679-0.000909</f>
        <v>5.8809999999999999E-3</v>
      </c>
      <c r="I32" s="4">
        <f>Tableau13[[#This Row],[Mass within the product (g)]]-Tableau13[[#This Row],[Mass in EIME (g)]]</f>
        <v>0.6635084</v>
      </c>
      <c r="J32" s="2"/>
    </row>
    <row r="33" spans="1:10" x14ac:dyDescent="0.3">
      <c r="A33" t="s">
        <v>36</v>
      </c>
      <c r="B33">
        <v>3.6</v>
      </c>
      <c r="D33">
        <f>Tableau13[[#This Row],[Concentration (%wt)]]/100*1000000</f>
        <v>36000.000000000007</v>
      </c>
      <c r="F33" s="2">
        <f>Tableau13[[#This Row],[Concentration (g.T-1)]]/1000000*$B$51</f>
        <v>7.8984000000000014</v>
      </c>
      <c r="G33">
        <v>5</v>
      </c>
      <c r="H33" s="2"/>
      <c r="I33" s="2">
        <f>Tableau13[[#This Row],[Mass within the product (g)]]-Tableau13[[#This Row],[Mass in EIME (g)]]</f>
        <v>7.8984000000000014</v>
      </c>
      <c r="J33" s="2"/>
    </row>
    <row r="34" spans="1:10" x14ac:dyDescent="0.3">
      <c r="A34" t="s">
        <v>37</v>
      </c>
      <c r="B34">
        <v>25.04</v>
      </c>
      <c r="D34">
        <f>Tableau13[[#This Row],[Concentration (%wt)]]/100*1000000</f>
        <v>250400</v>
      </c>
      <c r="F34" s="2">
        <f>Tableau13[[#This Row],[Concentration (g.T-1)]]/1000000*$B$51</f>
        <v>54.937760000000004</v>
      </c>
      <c r="G34">
        <v>5</v>
      </c>
      <c r="H34" s="2"/>
      <c r="I34" s="2">
        <f>Tableau13[[#This Row],[Mass within the product (g)]]-Tableau13[[#This Row],[Mass in EIME (g)]]</f>
        <v>54.937760000000004</v>
      </c>
      <c r="J34" s="2"/>
    </row>
    <row r="35" spans="1:10" x14ac:dyDescent="0.3">
      <c r="A35" t="s">
        <v>38</v>
      </c>
      <c r="B35">
        <v>4.05</v>
      </c>
      <c r="D35">
        <f>Tableau13[[#This Row],[Concentration (%wt)]]/100*1000000</f>
        <v>40500</v>
      </c>
      <c r="F35" s="2">
        <f>Tableau13[[#This Row],[Concentration (g.T-1)]]/1000000*$B$51</f>
        <v>8.8856999999999999</v>
      </c>
      <c r="G35">
        <v>5</v>
      </c>
      <c r="H35" s="2"/>
      <c r="I35" s="2">
        <f>Tableau13[[#This Row],[Mass within the product (g)]]-Tableau13[[#This Row],[Mass in EIME (g)]]</f>
        <v>8.8856999999999999</v>
      </c>
      <c r="J35" s="2"/>
    </row>
    <row r="36" spans="1:10" x14ac:dyDescent="0.3">
      <c r="A36" t="s">
        <v>55</v>
      </c>
      <c r="F36" s="2">
        <f>Tableau13[[#This Row],[Concentration (g.T-1)]]/1000000*$B$51</f>
        <v>0</v>
      </c>
      <c r="H36" s="2">
        <v>0</v>
      </c>
      <c r="I36" s="4">
        <f>Tableau13[[#This Row],[Mass within the product (g)]]-Tableau13[[#This Row],[Mass in EIME (g)]]</f>
        <v>0</v>
      </c>
      <c r="J36" s="2" t="s">
        <v>69</v>
      </c>
    </row>
    <row r="37" spans="1:10" x14ac:dyDescent="0.3">
      <c r="A37" t="s">
        <v>56</v>
      </c>
      <c r="F37" s="2">
        <f>Tableau13[[#This Row],[Concentration (g.T-1)]]/1000000*$B$51</f>
        <v>0</v>
      </c>
      <c r="H37" s="2">
        <f>32.3-7.23</f>
        <v>25.069999999999997</v>
      </c>
      <c r="I37" s="4">
        <f>Tableau13[[#This Row],[Mass within the product (g)]]-Tableau13[[#This Row],[Mass in EIME (g)]]</f>
        <v>-25.069999999999997</v>
      </c>
      <c r="J37" s="2" t="s">
        <v>70</v>
      </c>
    </row>
    <row r="38" spans="1:10" x14ac:dyDescent="0.3">
      <c r="A38" t="s">
        <v>57</v>
      </c>
      <c r="F38" s="2">
        <f>Tableau13[[#This Row],[Concentration (g.T-1)]]/1000000*$B$51</f>
        <v>0</v>
      </c>
      <c r="H38" s="2">
        <f>21.8-4.66</f>
        <v>17.14</v>
      </c>
      <c r="I38" s="4">
        <f>Tableau13[[#This Row],[Mass within the product (g)]]-Tableau13[[#This Row],[Mass in EIME (g)]]</f>
        <v>-17.14</v>
      </c>
      <c r="J38" s="2" t="s">
        <v>70</v>
      </c>
    </row>
    <row r="39" spans="1:10" x14ac:dyDescent="0.3">
      <c r="A39" t="s">
        <v>58</v>
      </c>
      <c r="F39" s="2">
        <f>Tableau13[[#This Row],[Concentration (g.T-1)]]/1000000*$B$51</f>
        <v>0</v>
      </c>
      <c r="H39" s="2">
        <v>18</v>
      </c>
      <c r="I39" s="4">
        <f>Tableau13[[#This Row],[Mass within the product (g)]]-Tableau13[[#This Row],[Mass in EIME (g)]]</f>
        <v>-18</v>
      </c>
      <c r="J39" s="2" t="s">
        <v>70</v>
      </c>
    </row>
    <row r="40" spans="1:10" x14ac:dyDescent="0.3">
      <c r="A40" t="s">
        <v>59</v>
      </c>
      <c r="F40" s="2">
        <f>Tableau13[[#This Row],[Concentration (g.T-1)]]/1000000*$B$51</f>
        <v>0</v>
      </c>
      <c r="H40" s="2">
        <f>2.84-0.635</f>
        <v>2.2050000000000001</v>
      </c>
      <c r="I40" s="4">
        <f>Tableau13[[#This Row],[Mass within the product (g)]]-Tableau13[[#This Row],[Mass in EIME (g)]]</f>
        <v>-2.2050000000000001</v>
      </c>
      <c r="J40" s="2" t="s">
        <v>70</v>
      </c>
    </row>
    <row r="41" spans="1:10" x14ac:dyDescent="0.3">
      <c r="A41" t="s">
        <v>60</v>
      </c>
      <c r="F41" s="2">
        <f>Tableau13[[#This Row],[Concentration (g.T-1)]]/1000000*$B$51</f>
        <v>0</v>
      </c>
      <c r="H41" s="2">
        <f>1.82</f>
        <v>1.82</v>
      </c>
      <c r="I41" s="4">
        <f>Tableau13[[#This Row],[Mass within the product (g)]]-Tableau13[[#This Row],[Mass in EIME (g)]]</f>
        <v>-1.82</v>
      </c>
      <c r="J41" s="2" t="s">
        <v>70</v>
      </c>
    </row>
    <row r="42" spans="1:10" x14ac:dyDescent="0.3">
      <c r="A42" t="s">
        <v>61</v>
      </c>
      <c r="F42" s="2">
        <f>Tableau13[[#This Row],[Concentration (g.T-1)]]/1000000*$B$51</f>
        <v>0</v>
      </c>
      <c r="H42" s="2">
        <v>1.38</v>
      </c>
      <c r="I42" s="2">
        <f>Tableau13[[#This Row],[Mass within the product (g)]]-Tableau13[[#This Row],[Mass in EIME (g)]]</f>
        <v>-1.38</v>
      </c>
      <c r="J42" s="2" t="s">
        <v>71</v>
      </c>
    </row>
    <row r="43" spans="1:10" x14ac:dyDescent="0.3">
      <c r="A43" t="s">
        <v>62</v>
      </c>
      <c r="F43" s="2">
        <f>Tableau13[[#This Row],[Concentration (g.T-1)]]/1000000*$B$51</f>
        <v>0</v>
      </c>
      <c r="H43" s="2">
        <v>0.1</v>
      </c>
      <c r="I43" s="4">
        <f>Tableau13[[#This Row],[Mass within the product (g)]]-Tableau13[[#This Row],[Mass in EIME (g)]]</f>
        <v>-0.1</v>
      </c>
      <c r="J43" s="2" t="s">
        <v>70</v>
      </c>
    </row>
    <row r="44" spans="1:10" x14ac:dyDescent="0.3">
      <c r="A44" t="s">
        <v>63</v>
      </c>
      <c r="F44" s="2">
        <f>Tableau13[[#This Row],[Concentration (g.T-1)]]/1000000*$B$51</f>
        <v>0</v>
      </c>
      <c r="H44" s="2">
        <v>8.77E-2</v>
      </c>
      <c r="I44" s="4">
        <f>Tableau13[[#This Row],[Mass within the product (g)]]-Tableau13[[#This Row],[Mass in EIME (g)]]</f>
        <v>-8.77E-2</v>
      </c>
      <c r="J44" s="2" t="s">
        <v>70</v>
      </c>
    </row>
    <row r="45" spans="1:10" x14ac:dyDescent="0.3">
      <c r="A45" t="s">
        <v>64</v>
      </c>
      <c r="F45" s="2">
        <f>Tableau13[[#This Row],[Concentration (g.T-1)]]/1000000*$B$51</f>
        <v>0</v>
      </c>
      <c r="H45" s="2">
        <f>0.053-0.00709</f>
        <v>4.5909999999999999E-2</v>
      </c>
      <c r="I45" s="4">
        <f>Tableau13[[#This Row],[Mass within the product (g)]]-Tableau13[[#This Row],[Mass in EIME (g)]]</f>
        <v>-4.5909999999999999E-2</v>
      </c>
      <c r="J45" s="2" t="s">
        <v>70</v>
      </c>
    </row>
    <row r="46" spans="1:10" x14ac:dyDescent="0.3">
      <c r="A46" t="s">
        <v>65</v>
      </c>
      <c r="F46" s="2">
        <f>Tableau13[[#This Row],[Concentration (g.T-1)]]/1000000*$B$51</f>
        <v>0</v>
      </c>
      <c r="H46" s="2">
        <f>0.000222</f>
        <v>2.22E-4</v>
      </c>
      <c r="I46" s="4">
        <f>Tableau13[[#This Row],[Mass within the product (g)]]-Tableau13[[#This Row],[Mass in EIME (g)]]</f>
        <v>-2.22E-4</v>
      </c>
      <c r="J46" s="2" t="s">
        <v>70</v>
      </c>
    </row>
    <row r="47" spans="1:10" x14ac:dyDescent="0.3">
      <c r="A47" t="s">
        <v>66</v>
      </c>
      <c r="F47" s="2">
        <f>Tableau13[[#This Row],[Concentration (g.T-1)]]/1000000*$B$51</f>
        <v>0</v>
      </c>
      <c r="H47" s="2">
        <f>0.000141</f>
        <v>1.4100000000000001E-4</v>
      </c>
      <c r="I47" s="4">
        <f>Tableau13[[#This Row],[Mass within the product (g)]]-Tableau13[[#This Row],[Mass in EIME (g)]]</f>
        <v>-1.4100000000000001E-4</v>
      </c>
      <c r="J47" s="2" t="s">
        <v>70</v>
      </c>
    </row>
    <row r="51" spans="1:7" x14ac:dyDescent="0.3">
      <c r="A51" t="s">
        <v>40</v>
      </c>
      <c r="B51">
        <v>219.4</v>
      </c>
      <c r="F51" s="5">
        <f>SUM(F32:F35,F28:F29,F26,F21:F22,F13:F19,F10:F11,F7,F5,F2:F3,F27)/SUM(F2:F35)</f>
        <v>0.99194558922505038</v>
      </c>
      <c r="G51" t="s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B439-4BC1-404D-8B60-19D4B2C754AB}">
  <dimension ref="A1:J51"/>
  <sheetViews>
    <sheetView showGridLines="0" workbookViewId="0">
      <selection activeCell="D14" sqref="D14"/>
    </sheetView>
  </sheetViews>
  <sheetFormatPr baseColWidth="10" defaultRowHeight="14.4" x14ac:dyDescent="0.3"/>
  <cols>
    <col min="1" max="1" width="20.21875" bestFit="1" customWidth="1"/>
    <col min="2" max="2" width="14.88671875" customWidth="1"/>
    <col min="3" max="3" width="10.77734375" customWidth="1"/>
    <col min="4" max="4" width="15.21875" customWidth="1"/>
    <col min="5" max="5" width="65.109375" customWidth="1"/>
    <col min="6" max="6" width="25.109375" customWidth="1"/>
    <col min="7" max="7" width="12.109375" bestFit="1" customWidth="1"/>
    <col min="8" max="8" width="17.21875" bestFit="1" customWidth="1"/>
    <col min="9" max="9" width="15.109375" bestFit="1" customWidth="1"/>
  </cols>
  <sheetData>
    <row r="1" spans="1:10" x14ac:dyDescent="0.3">
      <c r="A1" t="s">
        <v>43</v>
      </c>
      <c r="B1" t="s">
        <v>44</v>
      </c>
      <c r="C1" t="s">
        <v>5</v>
      </c>
      <c r="D1" t="s">
        <v>45</v>
      </c>
      <c r="E1" t="s">
        <v>39</v>
      </c>
      <c r="F1" t="s">
        <v>46</v>
      </c>
      <c r="G1" t="s">
        <v>47</v>
      </c>
      <c r="H1" t="s">
        <v>50</v>
      </c>
      <c r="I1" t="s">
        <v>51</v>
      </c>
      <c r="J1" t="s">
        <v>67</v>
      </c>
    </row>
    <row r="2" spans="1:10" x14ac:dyDescent="0.3">
      <c r="A2" t="s">
        <v>6</v>
      </c>
      <c r="B2">
        <v>0.06</v>
      </c>
      <c r="C2">
        <v>0</v>
      </c>
      <c r="D2">
        <v>565</v>
      </c>
      <c r="F2" s="2">
        <f>Tableau14[[#This Row],[Concentration (g.T-1)]]/1000000*$B$51</f>
        <v>7.8534999999999994E-3</v>
      </c>
      <c r="G2">
        <v>0</v>
      </c>
      <c r="H2" s="2">
        <v>9.7900000000000005E-4</v>
      </c>
      <c r="I2" s="4">
        <f>Tableau14[[#This Row],[Mass within the product (g)]]-Tableau14[[#This Row],[Mass in EIME (g)]]</f>
        <v>6.8744999999999995E-3</v>
      </c>
      <c r="J2" s="2"/>
    </row>
    <row r="3" spans="1:10" x14ac:dyDescent="0.3">
      <c r="A3" t="s">
        <v>7</v>
      </c>
      <c r="B3">
        <v>1.91</v>
      </c>
      <c r="C3">
        <v>0.27</v>
      </c>
      <c r="D3">
        <v>19088</v>
      </c>
      <c r="F3" s="2">
        <f>Tableau14[[#This Row],[Concentration (g.T-1)]]/1000000*$B$51</f>
        <v>0.26532320000000004</v>
      </c>
      <c r="G3">
        <v>30</v>
      </c>
      <c r="H3" s="2">
        <v>4.0900000000000002E-4</v>
      </c>
      <c r="I3" s="4">
        <f>Tableau14[[#This Row],[Mass within the product (g)]]-Tableau14[[#This Row],[Mass in EIME (g)]]</f>
        <v>0.26491420000000004</v>
      </c>
      <c r="J3" s="2"/>
    </row>
    <row r="4" spans="1:10" x14ac:dyDescent="0.3">
      <c r="A4" t="s">
        <v>8</v>
      </c>
      <c r="B4">
        <v>0</v>
      </c>
      <c r="C4">
        <v>0</v>
      </c>
      <c r="D4">
        <v>27</v>
      </c>
      <c r="E4" t="s">
        <v>42</v>
      </c>
      <c r="F4" s="2">
        <f>Tableau14[[#This Row],[Concentration (g.T-1)]]/1000000*$B$51</f>
        <v>3.7530000000000002E-4</v>
      </c>
      <c r="G4">
        <v>5</v>
      </c>
      <c r="H4" s="2"/>
      <c r="I4" s="6">
        <f>Tableau14[[#This Row],[Mass within the product (g)]]-Tableau14[[#This Row],[Mass in EIME (g)]]</f>
        <v>3.7530000000000002E-4</v>
      </c>
      <c r="J4" s="2" t="s">
        <v>74</v>
      </c>
    </row>
    <row r="5" spans="1:10" x14ac:dyDescent="0.3">
      <c r="A5" t="s">
        <v>9</v>
      </c>
      <c r="B5">
        <v>0.01</v>
      </c>
      <c r="C5">
        <v>0</v>
      </c>
      <c r="D5">
        <v>123</v>
      </c>
      <c r="F5" s="2">
        <f>Tableau14[[#This Row],[Concentration (g.T-1)]]/1000000*$B$51</f>
        <v>1.7097000000000002E-3</v>
      </c>
      <c r="G5">
        <v>0</v>
      </c>
      <c r="H5" s="2"/>
      <c r="I5" s="4">
        <f>Tableau14[[#This Row],[Mass within the product (g)]]-Tableau14[[#This Row],[Mass in EIME (g)]]</f>
        <v>1.7097000000000002E-3</v>
      </c>
      <c r="J5" s="2"/>
    </row>
    <row r="6" spans="1:10" x14ac:dyDescent="0.3">
      <c r="A6" t="s">
        <v>10</v>
      </c>
      <c r="B6">
        <v>0.11</v>
      </c>
      <c r="C6">
        <v>0</v>
      </c>
      <c r="D6">
        <v>1056</v>
      </c>
      <c r="F6" s="2">
        <f>Tableau14[[#This Row],[Concentration (g.T-1)]]/1000000*$B$51</f>
        <v>1.4678400000000001E-2</v>
      </c>
      <c r="G6">
        <v>5</v>
      </c>
      <c r="H6" s="2"/>
      <c r="I6" s="6">
        <f>Tableau14[[#This Row],[Mass within the product (g)]]-Tableau14[[#This Row],[Mass in EIME (g)]]</f>
        <v>1.4678400000000001E-2</v>
      </c>
      <c r="J6" s="2" t="s">
        <v>75</v>
      </c>
    </row>
    <row r="7" spans="1:10" x14ac:dyDescent="0.3">
      <c r="A7" t="s">
        <v>11</v>
      </c>
      <c r="B7">
        <v>3.1</v>
      </c>
      <c r="C7">
        <v>0.02</v>
      </c>
      <c r="D7">
        <v>30996</v>
      </c>
      <c r="F7" s="2">
        <f>Tableau14[[#This Row],[Concentration (g.T-1)]]/1000000*$B$51</f>
        <v>0.43084440000000002</v>
      </c>
      <c r="G7">
        <v>5</v>
      </c>
      <c r="H7" s="2">
        <v>0.13500000000000001</v>
      </c>
      <c r="I7" s="4">
        <f>Tableau14[[#This Row],[Mass within the product (g)]]-Tableau14[[#This Row],[Mass in EIME (g)]]</f>
        <v>0.29584440000000001</v>
      </c>
      <c r="J7" s="2"/>
    </row>
    <row r="8" spans="1:10" x14ac:dyDescent="0.3">
      <c r="A8" t="s">
        <v>12</v>
      </c>
      <c r="B8">
        <v>0</v>
      </c>
      <c r="C8">
        <v>0</v>
      </c>
      <c r="D8">
        <v>1</v>
      </c>
      <c r="E8" t="s">
        <v>42</v>
      </c>
      <c r="F8" s="2">
        <f>Tableau14[[#This Row],[Concentration (g.T-1)]]/1000000*$B$51</f>
        <v>1.3899999999999999E-5</v>
      </c>
      <c r="G8">
        <v>5</v>
      </c>
      <c r="H8" s="2"/>
      <c r="I8" s="6">
        <f>Tableau14[[#This Row],[Mass within the product (g)]]-Tableau14[[#This Row],[Mass in EIME (g)]]</f>
        <v>1.3899999999999999E-5</v>
      </c>
      <c r="J8" s="2" t="s">
        <v>76</v>
      </c>
    </row>
    <row r="9" spans="1:10" x14ac:dyDescent="0.3">
      <c r="A9" t="s">
        <v>13</v>
      </c>
      <c r="B9">
        <v>0.23</v>
      </c>
      <c r="C9">
        <v>0.02</v>
      </c>
      <c r="D9">
        <v>2288</v>
      </c>
      <c r="F9" s="2">
        <f>Tableau14[[#This Row],[Concentration (g.T-1)]]/1000000*$B$51</f>
        <v>3.1803200000000004E-2</v>
      </c>
      <c r="G9">
        <v>5</v>
      </c>
      <c r="H9" s="2"/>
      <c r="I9" s="6">
        <f>Tableau14[[#This Row],[Mass within the product (g)]]-Tableau14[[#This Row],[Mass in EIME (g)]]</f>
        <v>3.1803200000000004E-2</v>
      </c>
      <c r="J9" s="2" t="s">
        <v>77</v>
      </c>
    </row>
    <row r="10" spans="1:10" x14ac:dyDescent="0.3">
      <c r="A10" t="s">
        <v>14</v>
      </c>
      <c r="B10">
        <v>1.46</v>
      </c>
      <c r="C10">
        <v>0.03</v>
      </c>
      <c r="D10">
        <v>14567</v>
      </c>
      <c r="F10" s="2">
        <f>Tableau14[[#This Row],[Concentration (g.T-1)]]/1000000*$B$51</f>
        <v>0.2024813</v>
      </c>
      <c r="G10">
        <v>5</v>
      </c>
      <c r="H10" s="2"/>
      <c r="I10" s="4">
        <f>Tableau14[[#This Row],[Mass within the product (g)]]-Tableau14[[#This Row],[Mass in EIME (g)]]</f>
        <v>0.2024813</v>
      </c>
      <c r="J10" s="2"/>
    </row>
    <row r="11" spans="1:10" x14ac:dyDescent="0.3">
      <c r="A11" t="s">
        <v>15</v>
      </c>
      <c r="B11">
        <v>0</v>
      </c>
      <c r="C11">
        <v>0</v>
      </c>
      <c r="D11">
        <v>5</v>
      </c>
      <c r="E11" t="s">
        <v>42</v>
      </c>
      <c r="F11" s="2">
        <f>Tableau14[[#This Row],[Concentration (g.T-1)]]/1000000*$B$51</f>
        <v>6.9500000000000009E-5</v>
      </c>
      <c r="G11">
        <v>0</v>
      </c>
      <c r="H11" s="2"/>
      <c r="I11" s="4">
        <f>Tableau14[[#This Row],[Mass within the product (g)]]-Tableau14[[#This Row],[Mass in EIME (g)]]</f>
        <v>6.9500000000000009E-5</v>
      </c>
      <c r="J11" s="2"/>
    </row>
    <row r="12" spans="1:10" x14ac:dyDescent="0.3">
      <c r="A12" t="s">
        <v>16</v>
      </c>
      <c r="B12">
        <v>0.04</v>
      </c>
      <c r="C12">
        <v>0</v>
      </c>
      <c r="D12">
        <v>419</v>
      </c>
      <c r="F12" s="2">
        <f>Tableau14[[#This Row],[Concentration (g.T-1)]]/1000000*$B$51</f>
        <v>5.8241000000000005E-3</v>
      </c>
      <c r="G12">
        <v>5</v>
      </c>
      <c r="H12" s="2"/>
      <c r="I12" s="6">
        <f>Tableau14[[#This Row],[Mass within the product (g)]]-Tableau14[[#This Row],[Mass in EIME (g)]]</f>
        <v>5.8241000000000005E-3</v>
      </c>
      <c r="J12" s="2" t="s">
        <v>78</v>
      </c>
    </row>
    <row r="13" spans="1:10" x14ac:dyDescent="0.3">
      <c r="A13" t="s">
        <v>17</v>
      </c>
      <c r="B13">
        <v>0.01</v>
      </c>
      <c r="C13">
        <v>0</v>
      </c>
      <c r="D13">
        <v>96</v>
      </c>
      <c r="F13" s="2">
        <f>Tableau14[[#This Row],[Concentration (g.T-1)]]/1000000*$B$51</f>
        <v>1.3344000000000001E-3</v>
      </c>
      <c r="G13">
        <v>0</v>
      </c>
      <c r="H13" s="2">
        <v>0</v>
      </c>
      <c r="I13" s="4">
        <f>Tableau14[[#This Row],[Mass within the product (g)]]-Tableau14[[#This Row],[Mass in EIME (g)]]</f>
        <v>1.3344000000000001E-3</v>
      </c>
      <c r="J13" s="2"/>
    </row>
    <row r="14" spans="1:10" x14ac:dyDescent="0.3">
      <c r="A14" t="s">
        <v>18</v>
      </c>
      <c r="B14">
        <v>43.08</v>
      </c>
      <c r="C14">
        <v>0.5</v>
      </c>
      <c r="D14">
        <v>430821</v>
      </c>
      <c r="F14" s="2">
        <f>Tableau14[[#This Row],[Concentration (g.T-1)]]/1000000*$B$51</f>
        <v>5.9884119</v>
      </c>
      <c r="G14">
        <v>30</v>
      </c>
      <c r="H14" s="2">
        <v>1.6E-2</v>
      </c>
      <c r="I14" s="4">
        <f>Tableau14[[#This Row],[Mass within the product (g)]]-Tableau14[[#This Row],[Mass in EIME (g)]]</f>
        <v>5.9724119</v>
      </c>
      <c r="J14" s="2"/>
    </row>
    <row r="15" spans="1:10" x14ac:dyDescent="0.3">
      <c r="A15" t="s">
        <v>19</v>
      </c>
      <c r="B15">
        <v>15.84</v>
      </c>
      <c r="C15">
        <v>0.09</v>
      </c>
      <c r="D15">
        <v>158367</v>
      </c>
      <c r="F15" s="2">
        <f>Tableau14[[#This Row],[Concentration (g.T-1)]]/1000000*$B$51</f>
        <v>2.2013013000000003</v>
      </c>
      <c r="G15">
        <v>30</v>
      </c>
      <c r="H15" s="2">
        <v>0</v>
      </c>
      <c r="I15" s="4">
        <f>Tableau14[[#This Row],[Mass within the product (g)]]-Tableau14[[#This Row],[Mass in EIME (g)]]</f>
        <v>2.2013013000000003</v>
      </c>
      <c r="J15" s="2"/>
    </row>
    <row r="16" spans="1:10" x14ac:dyDescent="0.3">
      <c r="A16" t="s">
        <v>20</v>
      </c>
      <c r="B16">
        <v>0</v>
      </c>
      <c r="C16">
        <v>0</v>
      </c>
      <c r="D16">
        <v>22</v>
      </c>
      <c r="E16" t="s">
        <v>42</v>
      </c>
      <c r="F16" s="2">
        <f>Tableau14[[#This Row],[Concentration (g.T-1)]]/1000000*$B$51</f>
        <v>3.0580000000000001E-4</v>
      </c>
      <c r="G16">
        <v>5</v>
      </c>
      <c r="H16" s="2"/>
      <c r="I16" s="4">
        <f>Tableau14[[#This Row],[Mass within the product (g)]]-Tableau14[[#This Row],[Mass in EIME (g)]]</f>
        <v>3.0580000000000001E-4</v>
      </c>
      <c r="J16" s="2"/>
    </row>
    <row r="17" spans="1:10" x14ac:dyDescent="0.3">
      <c r="A17" t="s">
        <v>41</v>
      </c>
      <c r="B17">
        <v>0</v>
      </c>
      <c r="C17">
        <v>0</v>
      </c>
      <c r="D17">
        <v>4</v>
      </c>
      <c r="E17" t="s">
        <v>42</v>
      </c>
      <c r="F17" s="2">
        <f>Tableau14[[#This Row],[Concentration (g.T-1)]]/1000000*$B$51</f>
        <v>5.5599999999999996E-5</v>
      </c>
      <c r="G17">
        <v>5</v>
      </c>
      <c r="H17" s="2"/>
      <c r="I17" s="4">
        <f>Tableau14[[#This Row],[Mass within the product (g)]]-Tableau14[[#This Row],[Mass in EIME (g)]]</f>
        <v>5.5599999999999996E-5</v>
      </c>
      <c r="J17" s="2"/>
    </row>
    <row r="18" spans="1:10" x14ac:dyDescent="0.3">
      <c r="A18" t="s">
        <v>21</v>
      </c>
      <c r="B18">
        <v>0.13</v>
      </c>
      <c r="C18">
        <v>0</v>
      </c>
      <c r="D18">
        <v>1281</v>
      </c>
      <c r="F18" s="2">
        <f>Tableau14[[#This Row],[Concentration (g.T-1)]]/1000000*$B$51</f>
        <v>1.78059E-2</v>
      </c>
      <c r="G18">
        <v>30</v>
      </c>
      <c r="H18" s="2">
        <v>6.1199999999999999E-6</v>
      </c>
      <c r="I18" s="4">
        <f>Tableau14[[#This Row],[Mass within the product (g)]]-Tableau14[[#This Row],[Mass in EIME (g)]]</f>
        <v>1.7799780000000001E-2</v>
      </c>
      <c r="J18" s="2"/>
    </row>
    <row r="19" spans="1:10" x14ac:dyDescent="0.3">
      <c r="A19" t="s">
        <v>22</v>
      </c>
      <c r="B19">
        <v>5.45</v>
      </c>
      <c r="C19">
        <v>0.02</v>
      </c>
      <c r="D19">
        <v>54470</v>
      </c>
      <c r="F19" s="2">
        <f>Tableau14[[#This Row],[Concentration (g.T-1)]]/1000000*$B$51</f>
        <v>0.75713299999999994</v>
      </c>
      <c r="G19">
        <v>30</v>
      </c>
      <c r="H19" s="2"/>
      <c r="I19" s="4">
        <f>Tableau14[[#This Row],[Mass within the product (g)]]-Tableau14[[#This Row],[Mass in EIME (g)]]</f>
        <v>0.75713299999999994</v>
      </c>
      <c r="J19" s="2"/>
    </row>
    <row r="20" spans="1:10" x14ac:dyDescent="0.3">
      <c r="A20" t="s">
        <v>23</v>
      </c>
      <c r="B20">
        <v>0.27</v>
      </c>
      <c r="C20">
        <v>0.01</v>
      </c>
      <c r="D20">
        <v>2680</v>
      </c>
      <c r="F20" s="2">
        <f>Tableau14[[#This Row],[Concentration (g.T-1)]]/1000000*$B$51</f>
        <v>3.7252E-2</v>
      </c>
      <c r="G20">
        <v>5</v>
      </c>
      <c r="H20" s="2"/>
      <c r="I20" s="6">
        <f>Tableau14[[#This Row],[Mass within the product (g)]]-Tableau14[[#This Row],[Mass in EIME (g)]]</f>
        <v>3.7252E-2</v>
      </c>
      <c r="J20" s="2" t="s">
        <v>79</v>
      </c>
    </row>
    <row r="21" spans="1:10" x14ac:dyDescent="0.3">
      <c r="A21" t="s">
        <v>24</v>
      </c>
      <c r="B21">
        <v>2.71</v>
      </c>
      <c r="C21">
        <v>0.01</v>
      </c>
      <c r="D21">
        <v>27073</v>
      </c>
      <c r="F21" s="2">
        <f>Tableau14[[#This Row],[Concentration (g.T-1)]]/1000000*$B$51</f>
        <v>0.3763147</v>
      </c>
      <c r="G21">
        <v>5</v>
      </c>
      <c r="H21" s="2">
        <v>3.4299999999999997E-2</v>
      </c>
      <c r="I21" s="4">
        <f>Tableau14[[#This Row],[Mass within the product (g)]]-Tableau14[[#This Row],[Mass in EIME (g)]]</f>
        <v>0.3420147</v>
      </c>
      <c r="J21" s="2"/>
    </row>
    <row r="22" spans="1:10" x14ac:dyDescent="0.3">
      <c r="A22" t="s">
        <v>25</v>
      </c>
      <c r="B22">
        <v>0.17</v>
      </c>
      <c r="C22">
        <v>0</v>
      </c>
      <c r="D22">
        <v>1750</v>
      </c>
      <c r="F22" s="2">
        <f>Tableau14[[#This Row],[Concentration (g.T-1)]]/1000000*$B$51</f>
        <v>2.4324999999999999E-2</v>
      </c>
      <c r="G22">
        <v>30</v>
      </c>
      <c r="H22" s="2">
        <v>0</v>
      </c>
      <c r="I22" s="4">
        <f>Tableau14[[#This Row],[Mass within the product (g)]]-Tableau14[[#This Row],[Mass in EIME (g)]]</f>
        <v>2.4324999999999999E-2</v>
      </c>
      <c r="J22" s="2"/>
    </row>
    <row r="23" spans="1:10" x14ac:dyDescent="0.3">
      <c r="A23" t="s">
        <v>26</v>
      </c>
      <c r="B23">
        <v>0.01</v>
      </c>
      <c r="C23">
        <v>0</v>
      </c>
      <c r="D23">
        <v>134</v>
      </c>
      <c r="F23" s="2">
        <f>Tableau14[[#This Row],[Concentration (g.T-1)]]/1000000*$B$51</f>
        <v>1.8626000000000001E-3</v>
      </c>
      <c r="G23">
        <v>0</v>
      </c>
      <c r="H23" s="2">
        <v>0</v>
      </c>
      <c r="I23" s="6">
        <f>Tableau14[[#This Row],[Mass within the product (g)]]-Tableau14[[#This Row],[Mass in EIME (g)]]</f>
        <v>1.8626000000000001E-3</v>
      </c>
      <c r="J23" s="2" t="s">
        <v>80</v>
      </c>
    </row>
    <row r="24" spans="1:10" x14ac:dyDescent="0.3">
      <c r="A24" t="s">
        <v>27</v>
      </c>
      <c r="B24">
        <v>0</v>
      </c>
      <c r="C24">
        <v>0</v>
      </c>
      <c r="D24">
        <v>30</v>
      </c>
      <c r="E24" t="s">
        <v>42</v>
      </c>
      <c r="F24" s="2">
        <f>Tableau14[[#This Row],[Concentration (g.T-1)]]/1000000*$B$51</f>
        <v>4.17E-4</v>
      </c>
      <c r="G24">
        <v>0</v>
      </c>
      <c r="H24" s="2"/>
      <c r="I24" s="6">
        <f>Tableau14[[#This Row],[Mass within the product (g)]]-Tableau14[[#This Row],[Mass in EIME (g)]]</f>
        <v>4.17E-4</v>
      </c>
      <c r="J24" s="2" t="s">
        <v>81</v>
      </c>
    </row>
    <row r="25" spans="1:10" x14ac:dyDescent="0.3">
      <c r="A25" t="s">
        <v>28</v>
      </c>
      <c r="B25">
        <v>0.01</v>
      </c>
      <c r="C25">
        <v>0</v>
      </c>
      <c r="D25">
        <v>56</v>
      </c>
      <c r="E25" t="s">
        <v>42</v>
      </c>
      <c r="F25" s="2">
        <f>Tableau14[[#This Row],[Concentration (g.T-1)]]/1000000*$B$51</f>
        <v>7.7840000000000006E-4</v>
      </c>
      <c r="G25">
        <v>0</v>
      </c>
      <c r="H25" s="2"/>
      <c r="I25" s="4">
        <f>Tableau14[[#This Row],[Mass within the product (g)]]-Tableau14[[#This Row],[Mass in EIME (g)]]</f>
        <v>7.7840000000000006E-4</v>
      </c>
      <c r="J25" s="2"/>
    </row>
    <row r="26" spans="1:10" x14ac:dyDescent="0.3">
      <c r="A26" t="s">
        <v>29</v>
      </c>
      <c r="B26">
        <v>0.01</v>
      </c>
      <c r="C26">
        <v>0</v>
      </c>
      <c r="D26">
        <v>67</v>
      </c>
      <c r="E26" t="s">
        <v>42</v>
      </c>
      <c r="F26" s="2">
        <f>Tableau14[[#This Row],[Concentration (g.T-1)]]/1000000*$B$51</f>
        <v>9.3130000000000003E-4</v>
      </c>
      <c r="G26">
        <v>0</v>
      </c>
      <c r="H26" s="2"/>
      <c r="I26" s="6">
        <f>Tableau14[[#This Row],[Mass within the product (g)]]-Tableau14[[#This Row],[Mass in EIME (g)]]</f>
        <v>9.3130000000000003E-4</v>
      </c>
      <c r="J26" s="2" t="s">
        <v>82</v>
      </c>
    </row>
    <row r="27" spans="1:10" x14ac:dyDescent="0.3">
      <c r="A27" t="s">
        <v>48</v>
      </c>
      <c r="B27">
        <v>2.35</v>
      </c>
      <c r="C27">
        <v>0.72</v>
      </c>
      <c r="D27">
        <v>23532</v>
      </c>
      <c r="F27" s="2">
        <f>Tableau14[[#This Row],[Concentration (g.T-1)]]/1000000*$B$51</f>
        <v>0.32709480000000002</v>
      </c>
      <c r="G27" t="s">
        <v>54</v>
      </c>
      <c r="H27" s="2"/>
      <c r="I27" s="2">
        <f>Tableau14[[#This Row],[Mass within the product (g)]]-Tableau14[[#This Row],[Mass in EIME (g)]]</f>
        <v>0.32709480000000002</v>
      </c>
      <c r="J27" s="2" t="s">
        <v>85</v>
      </c>
    </row>
    <row r="28" spans="1:10" x14ac:dyDescent="0.3">
      <c r="A28" t="s">
        <v>30</v>
      </c>
      <c r="B28">
        <v>2.87</v>
      </c>
      <c r="C28">
        <v>0.06</v>
      </c>
      <c r="D28">
        <v>28658</v>
      </c>
      <c r="F28" s="2">
        <f>Tableau14[[#This Row],[Concentration (g.T-1)]]/1000000*$B$51</f>
        <v>0.39834619999999998</v>
      </c>
      <c r="G28">
        <v>30</v>
      </c>
      <c r="H28" s="2">
        <v>0.33400000000000002</v>
      </c>
      <c r="I28" s="4">
        <f>Tableau14[[#This Row],[Mass within the product (g)]]-Tableau14[[#This Row],[Mass in EIME (g)]]</f>
        <v>6.4346199999999965E-2</v>
      </c>
      <c r="J28" s="2"/>
    </row>
    <row r="29" spans="1:10" x14ac:dyDescent="0.3">
      <c r="A29" t="s">
        <v>32</v>
      </c>
      <c r="B29">
        <v>1</v>
      </c>
      <c r="C29">
        <v>0</v>
      </c>
      <c r="D29">
        <v>10017</v>
      </c>
      <c r="F29" s="2">
        <f>Tableau14[[#This Row],[Concentration (g.T-1)]]/1000000*$B$51</f>
        <v>0.13923630000000001</v>
      </c>
      <c r="G29">
        <v>5</v>
      </c>
      <c r="H29" s="2">
        <f>0.0607+0.0178</f>
        <v>7.85E-2</v>
      </c>
      <c r="I29" s="4">
        <f>Tableau14[[#This Row],[Mass within the product (g)]]-Tableau14[[#This Row],[Mass in EIME (g)]]</f>
        <v>6.0736300000000007E-2</v>
      </c>
      <c r="J29" s="2"/>
    </row>
    <row r="30" spans="1:10" x14ac:dyDescent="0.3">
      <c r="A30" t="s">
        <v>33</v>
      </c>
      <c r="B30">
        <v>0</v>
      </c>
      <c r="C30">
        <v>0</v>
      </c>
      <c r="D30">
        <v>44</v>
      </c>
      <c r="E30" t="s">
        <v>42</v>
      </c>
      <c r="F30" s="2">
        <f>Tableau14[[#This Row],[Concentration (g.T-1)]]/1000000*$B$51</f>
        <v>6.1160000000000001E-4</v>
      </c>
      <c r="G30">
        <v>0</v>
      </c>
      <c r="H30" s="2"/>
      <c r="I30" s="6">
        <f>Tableau14[[#This Row],[Mass within the product (g)]]-Tableau14[[#This Row],[Mass in EIME (g)]]</f>
        <v>6.1160000000000001E-4</v>
      </c>
      <c r="J30" s="2" t="s">
        <v>83</v>
      </c>
    </row>
    <row r="31" spans="1:10" x14ac:dyDescent="0.3">
      <c r="A31" t="s">
        <v>34</v>
      </c>
      <c r="B31">
        <v>0</v>
      </c>
      <c r="C31">
        <v>0</v>
      </c>
      <c r="D31">
        <v>42</v>
      </c>
      <c r="E31" t="s">
        <v>42</v>
      </c>
      <c r="F31" s="2">
        <f>Tableau14[[#This Row],[Concentration (g.T-1)]]/1000000*$B$51</f>
        <v>5.8379999999999999E-4</v>
      </c>
      <c r="G31">
        <v>5</v>
      </c>
      <c r="H31" s="2"/>
      <c r="I31" s="6">
        <f>Tableau14[[#This Row],[Mass within the product (g)]]-Tableau14[[#This Row],[Mass in EIME (g)]]</f>
        <v>5.8379999999999999E-4</v>
      </c>
      <c r="J31" s="2" t="s">
        <v>84</v>
      </c>
    </row>
    <row r="32" spans="1:10" x14ac:dyDescent="0.3">
      <c r="A32" t="s">
        <v>35</v>
      </c>
      <c r="B32">
        <v>1.1499999999999999</v>
      </c>
      <c r="C32">
        <v>0.01</v>
      </c>
      <c r="D32">
        <v>11508</v>
      </c>
      <c r="F32" s="2">
        <f>Tableau14[[#This Row],[Concentration (g.T-1)]]/1000000*$B$51</f>
        <v>0.1599612</v>
      </c>
      <c r="G32">
        <v>30</v>
      </c>
      <c r="H32" s="2">
        <v>9.0899999999999998E-4</v>
      </c>
      <c r="I32" s="4">
        <f>Tableau14[[#This Row],[Mass within the product (g)]]-Tableau14[[#This Row],[Mass in EIME (g)]]</f>
        <v>0.1590522</v>
      </c>
      <c r="J32" s="2"/>
    </row>
    <row r="33" spans="1:10" x14ac:dyDescent="0.3">
      <c r="A33" t="s">
        <v>36</v>
      </c>
      <c r="B33">
        <v>1.83</v>
      </c>
      <c r="D33">
        <f>Tableau14[[#This Row],[Concentration (%wt)]]/100*1000000</f>
        <v>18300</v>
      </c>
      <c r="F33" s="2">
        <f>Tableau14[[#This Row],[Concentration (g.T-1)]]/1000000*$B$51</f>
        <v>0.25436999999999999</v>
      </c>
      <c r="G33">
        <v>5</v>
      </c>
      <c r="H33" s="2"/>
      <c r="I33" s="2">
        <f>Tableau14[[#This Row],[Mass within the product (g)]]-Tableau14[[#This Row],[Mass in EIME (g)]]</f>
        <v>0.25436999999999999</v>
      </c>
      <c r="J33" s="2"/>
    </row>
    <row r="34" spans="1:10" x14ac:dyDescent="0.3">
      <c r="A34" t="s">
        <v>37</v>
      </c>
      <c r="B34">
        <v>8.6300000000000008</v>
      </c>
      <c r="D34">
        <f>Tableau14[[#This Row],[Concentration (%wt)]]/100*1000000</f>
        <v>86300</v>
      </c>
      <c r="F34" s="2">
        <f>Tableau14[[#This Row],[Concentration (g.T-1)]]/1000000*$B$51</f>
        <v>1.19957</v>
      </c>
      <c r="G34">
        <v>5</v>
      </c>
      <c r="H34" s="2"/>
      <c r="I34" s="2">
        <f>Tableau14[[#This Row],[Mass within the product (g)]]-Tableau14[[#This Row],[Mass in EIME (g)]]</f>
        <v>1.19957</v>
      </c>
      <c r="J34" s="2"/>
    </row>
    <row r="35" spans="1:10" x14ac:dyDescent="0.3">
      <c r="A35" t="s">
        <v>38</v>
      </c>
      <c r="B35">
        <v>7.55</v>
      </c>
      <c r="D35">
        <f>Tableau14[[#This Row],[Concentration (%wt)]]/100*1000000</f>
        <v>75500</v>
      </c>
      <c r="F35" s="2">
        <f>Tableau14[[#This Row],[Concentration (g.T-1)]]/1000000*$B$51</f>
        <v>1.04945</v>
      </c>
      <c r="G35">
        <v>5</v>
      </c>
      <c r="H35" s="2"/>
      <c r="I35" s="2">
        <f>Tableau14[[#This Row],[Mass within the product (g)]]-Tableau14[[#This Row],[Mass in EIME (g)]]</f>
        <v>1.04945</v>
      </c>
      <c r="J35" s="2"/>
    </row>
    <row r="36" spans="1:10" x14ac:dyDescent="0.3">
      <c r="A36" t="s">
        <v>55</v>
      </c>
      <c r="F36" s="2">
        <f>Tableau14[[#This Row],[Concentration (g.T-1)]]/1000000*$B$51</f>
        <v>0</v>
      </c>
      <c r="H36" s="2">
        <v>0</v>
      </c>
      <c r="I36" s="4">
        <f>Tableau14[[#This Row],[Mass within the product (g)]]-Tableau14[[#This Row],[Mass in EIME (g)]]</f>
        <v>0</v>
      </c>
      <c r="J36" s="2" t="s">
        <v>69</v>
      </c>
    </row>
    <row r="37" spans="1:10" x14ac:dyDescent="0.3">
      <c r="A37" t="s">
        <v>56</v>
      </c>
      <c r="F37" s="2">
        <f>Tableau14[[#This Row],[Concentration (g.T-1)]]/1000000*$B$51</f>
        <v>0</v>
      </c>
      <c r="H37" s="2">
        <v>0</v>
      </c>
      <c r="I37" s="4">
        <f>Tableau14[[#This Row],[Mass within the product (g)]]-Tableau14[[#This Row],[Mass in EIME (g)]]</f>
        <v>0</v>
      </c>
      <c r="J37" s="2" t="s">
        <v>70</v>
      </c>
    </row>
    <row r="38" spans="1:10" x14ac:dyDescent="0.3">
      <c r="A38" t="s">
        <v>57</v>
      </c>
      <c r="F38" s="2">
        <f>Tableau14[[#This Row],[Concentration (g.T-1)]]/1000000*$B$51</f>
        <v>0</v>
      </c>
      <c r="H38" s="2">
        <v>0</v>
      </c>
      <c r="I38" s="4">
        <f>Tableau14[[#This Row],[Mass within the product (g)]]-Tableau14[[#This Row],[Mass in EIME (g)]]</f>
        <v>0</v>
      </c>
      <c r="J38" s="2" t="s">
        <v>70</v>
      </c>
    </row>
    <row r="39" spans="1:10" x14ac:dyDescent="0.3">
      <c r="A39" t="s">
        <v>58</v>
      </c>
      <c r="F39" s="2">
        <f>Tableau14[[#This Row],[Concentration (g.T-1)]]/1000000*$B$51</f>
        <v>0</v>
      </c>
      <c r="H39" s="2">
        <v>0</v>
      </c>
      <c r="I39" s="4">
        <f>Tableau14[[#This Row],[Mass within the product (g)]]-Tableau14[[#This Row],[Mass in EIME (g)]]</f>
        <v>0</v>
      </c>
      <c r="J39" s="2" t="s">
        <v>70</v>
      </c>
    </row>
    <row r="40" spans="1:10" x14ac:dyDescent="0.3">
      <c r="A40" t="s">
        <v>59</v>
      </c>
      <c r="F40" s="2">
        <f>Tableau14[[#This Row],[Concentration (g.T-1)]]/1000000*$B$51</f>
        <v>0</v>
      </c>
      <c r="H40" s="2">
        <v>0</v>
      </c>
      <c r="I40" s="4">
        <f>Tableau14[[#This Row],[Mass within the product (g)]]-Tableau14[[#This Row],[Mass in EIME (g)]]</f>
        <v>0</v>
      </c>
      <c r="J40" s="2" t="s">
        <v>70</v>
      </c>
    </row>
    <row r="41" spans="1:10" x14ac:dyDescent="0.3">
      <c r="A41" t="s">
        <v>60</v>
      </c>
      <c r="F41" s="2">
        <f>Tableau14[[#This Row],[Concentration (g.T-1)]]/1000000*$B$51</f>
        <v>0</v>
      </c>
      <c r="H41" s="2">
        <v>0</v>
      </c>
      <c r="I41" s="4">
        <f>Tableau14[[#This Row],[Mass within the product (g)]]-Tableau14[[#This Row],[Mass in EIME (g)]]</f>
        <v>0</v>
      </c>
      <c r="J41" s="2" t="s">
        <v>70</v>
      </c>
    </row>
    <row r="42" spans="1:10" x14ac:dyDescent="0.3">
      <c r="A42" t="s">
        <v>61</v>
      </c>
      <c r="F42" s="2">
        <f>Tableau14[[#This Row],[Concentration (g.T-1)]]/1000000*$B$51</f>
        <v>0</v>
      </c>
      <c r="H42" s="2">
        <v>0</v>
      </c>
      <c r="I42" s="4">
        <f>Tableau14[[#This Row],[Mass within the product (g)]]-Tableau14[[#This Row],[Mass in EIME (g)]]</f>
        <v>0</v>
      </c>
      <c r="J42" s="2" t="s">
        <v>68</v>
      </c>
    </row>
    <row r="43" spans="1:10" x14ac:dyDescent="0.3">
      <c r="A43" t="s">
        <v>62</v>
      </c>
      <c r="F43" s="2">
        <f>Tableau14[[#This Row],[Concentration (g.T-1)]]/1000000*$B$51</f>
        <v>0</v>
      </c>
      <c r="H43" s="2">
        <v>0</v>
      </c>
      <c r="I43" s="4">
        <f>Tableau14[[#This Row],[Mass within the product (g)]]-Tableau14[[#This Row],[Mass in EIME (g)]]</f>
        <v>0</v>
      </c>
      <c r="J43" s="2" t="s">
        <v>70</v>
      </c>
    </row>
    <row r="44" spans="1:10" x14ac:dyDescent="0.3">
      <c r="A44" t="s">
        <v>63</v>
      </c>
      <c r="F44" s="2">
        <f>Tableau14[[#This Row],[Concentration (g.T-1)]]/1000000*$B$51</f>
        <v>0</v>
      </c>
      <c r="H44" s="2">
        <v>0</v>
      </c>
      <c r="I44" s="4">
        <f>Tableau14[[#This Row],[Mass within the product (g)]]-Tableau14[[#This Row],[Mass in EIME (g)]]</f>
        <v>0</v>
      </c>
      <c r="J44" s="2" t="s">
        <v>70</v>
      </c>
    </row>
    <row r="45" spans="1:10" x14ac:dyDescent="0.3">
      <c r="A45" t="s">
        <v>64</v>
      </c>
      <c r="F45" s="2">
        <f>Tableau14[[#This Row],[Concentration (g.T-1)]]/1000000*$B$51</f>
        <v>0</v>
      </c>
      <c r="H45" s="2">
        <v>7.0899999999999999E-3</v>
      </c>
      <c r="I45" s="4">
        <f>Tableau14[[#This Row],[Mass within the product (g)]]-Tableau14[[#This Row],[Mass in EIME (g)]]</f>
        <v>-7.0899999999999999E-3</v>
      </c>
      <c r="J45" s="2" t="s">
        <v>70</v>
      </c>
    </row>
    <row r="46" spans="1:10" x14ac:dyDescent="0.3">
      <c r="A46" t="s">
        <v>65</v>
      </c>
      <c r="F46" s="2">
        <f>Tableau14[[#This Row],[Concentration (g.T-1)]]/1000000*$B$51</f>
        <v>0</v>
      </c>
      <c r="H46" s="2">
        <v>0</v>
      </c>
      <c r="I46" s="4">
        <f>Tableau14[[#This Row],[Mass within the product (g)]]-Tableau14[[#This Row],[Mass in EIME (g)]]</f>
        <v>0</v>
      </c>
      <c r="J46" s="2" t="s">
        <v>70</v>
      </c>
    </row>
    <row r="47" spans="1:10" x14ac:dyDescent="0.3">
      <c r="A47" t="s">
        <v>66</v>
      </c>
      <c r="F47" s="2">
        <f>Tableau14[[#This Row],[Concentration (g.T-1)]]/1000000*$B$51</f>
        <v>0</v>
      </c>
      <c r="H47" s="2">
        <v>0</v>
      </c>
      <c r="I47" s="4">
        <f>Tableau14[[#This Row],[Mass within the product (g)]]-Tableau14[[#This Row],[Mass in EIME (g)]]</f>
        <v>0</v>
      </c>
      <c r="J47" s="2" t="s">
        <v>70</v>
      </c>
    </row>
    <row r="48" spans="1:10" x14ac:dyDescent="0.3">
      <c r="F48" s="2"/>
      <c r="H48" s="2"/>
      <c r="I48" s="2"/>
    </row>
    <row r="51" spans="1:7" x14ac:dyDescent="0.3">
      <c r="A51" t="s">
        <v>40</v>
      </c>
      <c r="B51">
        <v>13.9</v>
      </c>
      <c r="F51" s="5">
        <f>SUM(F32,F28:F29,F25,F21:F22,F13:F19,F10:F11,F7,F5,F2:F3,F27)/SUM(F2:F35)</f>
        <v>0.81309087926935741</v>
      </c>
      <c r="G51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C7CD-48EB-4E15-97D9-007DE9777384}">
  <dimension ref="A1:J51"/>
  <sheetViews>
    <sheetView showGridLines="0" tabSelected="1" workbookViewId="0">
      <selection activeCell="I31" sqref="I31"/>
    </sheetView>
  </sheetViews>
  <sheetFormatPr baseColWidth="10" defaultRowHeight="14.4" x14ac:dyDescent="0.3"/>
  <cols>
    <col min="1" max="1" width="20.21875" bestFit="1" customWidth="1"/>
    <col min="2" max="2" width="14.88671875" customWidth="1"/>
    <col min="3" max="3" width="10.77734375" customWidth="1"/>
    <col min="4" max="4" width="15.21875" customWidth="1"/>
    <col min="5" max="5" width="65.109375" customWidth="1"/>
    <col min="6" max="6" width="25.109375" customWidth="1"/>
    <col min="7" max="7" width="12.109375" bestFit="1" customWidth="1"/>
    <col min="8" max="8" width="17.21875" bestFit="1" customWidth="1"/>
    <col min="9" max="9" width="15.109375" bestFit="1" customWidth="1"/>
  </cols>
  <sheetData>
    <row r="1" spans="1:10" x14ac:dyDescent="0.3">
      <c r="A1" t="s">
        <v>43</v>
      </c>
      <c r="B1" t="s">
        <v>44</v>
      </c>
      <c r="C1" t="s">
        <v>5</v>
      </c>
      <c r="D1" t="s">
        <v>45</v>
      </c>
      <c r="E1" t="s">
        <v>39</v>
      </c>
      <c r="F1" t="s">
        <v>46</v>
      </c>
      <c r="G1" t="s">
        <v>47</v>
      </c>
      <c r="H1" t="s">
        <v>50</v>
      </c>
      <c r="I1" t="s">
        <v>51</v>
      </c>
      <c r="J1" t="s">
        <v>67</v>
      </c>
    </row>
    <row r="2" spans="1:10" x14ac:dyDescent="0.3">
      <c r="A2" t="s">
        <v>6</v>
      </c>
      <c r="B2">
        <v>0.05</v>
      </c>
      <c r="C2">
        <v>0.01</v>
      </c>
      <c r="D2">
        <v>511</v>
      </c>
      <c r="F2" s="2">
        <f>Tableau15[[#This Row],[Concentration (g.T-1)]]/1000000*$B$51</f>
        <v>1.12931E-2</v>
      </c>
      <c r="G2">
        <v>0</v>
      </c>
      <c r="H2" s="2">
        <v>0</v>
      </c>
      <c r="I2" s="4">
        <f>Tableau15[[#This Row],[Mass within the product (g)]]-Tableau15[[#This Row],[Mass in EIME (g)]]</f>
        <v>1.12931E-2</v>
      </c>
      <c r="J2" s="2"/>
    </row>
    <row r="3" spans="1:10" x14ac:dyDescent="0.3">
      <c r="A3" t="s">
        <v>7</v>
      </c>
      <c r="B3">
        <v>1.89</v>
      </c>
      <c r="C3">
        <v>0.14000000000000001</v>
      </c>
      <c r="D3">
        <v>18932</v>
      </c>
      <c r="F3" s="2">
        <f>Tableau15[[#This Row],[Concentration (g.T-1)]]/1000000*$B$51</f>
        <v>0.41839720000000002</v>
      </c>
      <c r="G3">
        <v>30</v>
      </c>
      <c r="H3" s="2">
        <v>0</v>
      </c>
      <c r="I3" s="4">
        <f>Tableau15[[#This Row],[Mass within the product (g)]]-Tableau15[[#This Row],[Mass in EIME (g)]]</f>
        <v>0.41839720000000002</v>
      </c>
      <c r="J3" s="2"/>
    </row>
    <row r="4" spans="1:10" x14ac:dyDescent="0.3">
      <c r="A4" t="s">
        <v>8</v>
      </c>
      <c r="B4">
        <v>0</v>
      </c>
      <c r="C4">
        <v>0</v>
      </c>
      <c r="D4">
        <v>13</v>
      </c>
      <c r="E4" t="s">
        <v>42</v>
      </c>
      <c r="F4" s="2">
        <f>Tableau15[[#This Row],[Concentration (g.T-1)]]/1000000*$B$51</f>
        <v>2.8729999999999999E-4</v>
      </c>
      <c r="G4">
        <v>5</v>
      </c>
      <c r="H4" s="2"/>
      <c r="I4" s="6">
        <f>Tableau15[[#This Row],[Mass within the product (g)]]-Tableau15[[#This Row],[Mass in EIME (g)]]</f>
        <v>2.8729999999999999E-4</v>
      </c>
      <c r="J4" s="2" t="s">
        <v>74</v>
      </c>
    </row>
    <row r="5" spans="1:10" x14ac:dyDescent="0.3">
      <c r="A5" t="s">
        <v>9</v>
      </c>
      <c r="B5">
        <v>0.01</v>
      </c>
      <c r="C5">
        <v>0</v>
      </c>
      <c r="D5">
        <v>52</v>
      </c>
      <c r="F5" s="2">
        <f>Tableau15[[#This Row],[Concentration (g.T-1)]]/1000000*$B$51</f>
        <v>1.1492E-3</v>
      </c>
      <c r="G5">
        <v>0</v>
      </c>
      <c r="H5" s="2"/>
      <c r="I5" s="4">
        <f>Tableau15[[#This Row],[Mass within the product (g)]]-Tableau15[[#This Row],[Mass in EIME (g)]]</f>
        <v>1.1492E-3</v>
      </c>
      <c r="J5" s="2"/>
    </row>
    <row r="6" spans="1:10" x14ac:dyDescent="0.3">
      <c r="A6" t="s">
        <v>10</v>
      </c>
      <c r="B6">
        <v>0.27</v>
      </c>
      <c r="C6">
        <v>0</v>
      </c>
      <c r="D6">
        <v>2735</v>
      </c>
      <c r="F6" s="2">
        <f>Tableau15[[#This Row],[Concentration (g.T-1)]]/1000000*$B$51</f>
        <v>6.0443500000000004E-2</v>
      </c>
      <c r="G6">
        <v>5</v>
      </c>
      <c r="H6" s="2"/>
      <c r="I6" s="6">
        <f>Tableau15[[#This Row],[Mass within the product (g)]]-Tableau15[[#This Row],[Mass in EIME (g)]]</f>
        <v>6.0443500000000004E-2</v>
      </c>
      <c r="J6" s="2" t="s">
        <v>75</v>
      </c>
    </row>
    <row r="7" spans="1:10" x14ac:dyDescent="0.3">
      <c r="A7" t="s">
        <v>11</v>
      </c>
      <c r="B7">
        <v>0.33</v>
      </c>
      <c r="C7">
        <v>0.02</v>
      </c>
      <c r="D7">
        <v>3276</v>
      </c>
      <c r="F7" s="2">
        <f>Tableau15[[#This Row],[Concentration (g.T-1)]]/1000000*$B$51</f>
        <v>7.2399599999999995E-2</v>
      </c>
      <c r="G7">
        <v>5</v>
      </c>
      <c r="H7" s="2">
        <v>0</v>
      </c>
      <c r="I7" s="4">
        <f>Tableau15[[#This Row],[Mass within the product (g)]]-Tableau15[[#This Row],[Mass in EIME (g)]]</f>
        <v>7.2399599999999995E-2</v>
      </c>
      <c r="J7" s="2"/>
    </row>
    <row r="8" spans="1:10" x14ac:dyDescent="0.3">
      <c r="A8" t="s">
        <v>13</v>
      </c>
      <c r="B8">
        <v>0.1</v>
      </c>
      <c r="C8">
        <v>0.01</v>
      </c>
      <c r="D8">
        <v>1005</v>
      </c>
      <c r="F8" s="2">
        <f>Tableau15[[#This Row],[Concentration (g.T-1)]]/1000000*$B$51</f>
        <v>2.2210500000000001E-2</v>
      </c>
      <c r="G8">
        <v>5</v>
      </c>
      <c r="H8" s="2"/>
      <c r="I8" s="6">
        <f>Tableau15[[#This Row],[Mass within the product (g)]]-Tableau15[[#This Row],[Mass in EIME (g)]]</f>
        <v>2.2210500000000001E-2</v>
      </c>
      <c r="J8" s="2" t="s">
        <v>77</v>
      </c>
    </row>
    <row r="9" spans="1:10" x14ac:dyDescent="0.3">
      <c r="A9" t="s">
        <v>14</v>
      </c>
      <c r="B9">
        <v>2.93</v>
      </c>
      <c r="C9">
        <v>0.04</v>
      </c>
      <c r="D9">
        <v>29263</v>
      </c>
      <c r="F9" s="2">
        <f>Tableau15[[#This Row],[Concentration (g.T-1)]]/1000000*$B$51</f>
        <v>0.64671230000000002</v>
      </c>
      <c r="G9">
        <v>5</v>
      </c>
      <c r="H9" s="2"/>
      <c r="I9" s="4">
        <f>Tableau15[[#This Row],[Mass within the product (g)]]-Tableau15[[#This Row],[Mass in EIME (g)]]</f>
        <v>0.64671230000000002</v>
      </c>
      <c r="J9" s="2"/>
    </row>
    <row r="10" spans="1:10" x14ac:dyDescent="0.3">
      <c r="A10" t="s">
        <v>15</v>
      </c>
      <c r="B10">
        <v>0</v>
      </c>
      <c r="C10">
        <v>0</v>
      </c>
      <c r="D10">
        <v>1</v>
      </c>
      <c r="E10" t="s">
        <v>42</v>
      </c>
      <c r="F10" s="2">
        <f>Tableau15[[#This Row],[Concentration (g.T-1)]]/1000000*$B$51</f>
        <v>2.2100000000000002E-5</v>
      </c>
      <c r="G10">
        <v>5</v>
      </c>
      <c r="H10" s="2"/>
      <c r="I10" s="4">
        <f>Tableau15[[#This Row],[Mass within the product (g)]]-Tableau15[[#This Row],[Mass in EIME (g)]]</f>
        <v>2.2100000000000002E-5</v>
      </c>
      <c r="J10" s="2"/>
    </row>
    <row r="11" spans="1:10" x14ac:dyDescent="0.3">
      <c r="A11" t="s">
        <v>16</v>
      </c>
      <c r="B11">
        <v>0</v>
      </c>
      <c r="C11">
        <v>0</v>
      </c>
      <c r="D11">
        <v>26</v>
      </c>
      <c r="E11" t="s">
        <v>42</v>
      </c>
      <c r="F11" s="2">
        <f>Tableau15[[#This Row],[Concentration (g.T-1)]]/1000000*$B$51</f>
        <v>5.7459999999999998E-4</v>
      </c>
      <c r="G11">
        <v>0</v>
      </c>
      <c r="H11" s="2"/>
      <c r="I11" s="6">
        <f>Tableau15[[#This Row],[Mass within the product (g)]]-Tableau15[[#This Row],[Mass in EIME (g)]]</f>
        <v>5.7459999999999998E-4</v>
      </c>
      <c r="J11" s="2" t="s">
        <v>78</v>
      </c>
    </row>
    <row r="12" spans="1:10" x14ac:dyDescent="0.3">
      <c r="A12" t="s">
        <v>17</v>
      </c>
      <c r="B12">
        <v>0</v>
      </c>
      <c r="C12">
        <v>0</v>
      </c>
      <c r="D12">
        <v>44</v>
      </c>
      <c r="E12" t="s">
        <v>42</v>
      </c>
      <c r="F12" s="2">
        <f>Tableau15[[#This Row],[Concentration (g.T-1)]]/1000000*$B$51</f>
        <v>9.724E-4</v>
      </c>
      <c r="G12">
        <v>5</v>
      </c>
      <c r="H12" s="2">
        <v>0</v>
      </c>
      <c r="I12" s="4">
        <f>Tableau15[[#This Row],[Mass within the product (g)]]-Tableau15[[#This Row],[Mass in EIME (g)]]</f>
        <v>9.724E-4</v>
      </c>
      <c r="J12" s="2"/>
    </row>
    <row r="13" spans="1:10" x14ac:dyDescent="0.3">
      <c r="A13" t="s">
        <v>18</v>
      </c>
      <c r="B13">
        <v>23.76</v>
      </c>
      <c r="C13">
        <v>0.41</v>
      </c>
      <c r="D13">
        <v>237631</v>
      </c>
      <c r="F13" s="2">
        <f>Tableau15[[#This Row],[Concentration (g.T-1)]]/1000000*$B$51</f>
        <v>5.2516451000000002</v>
      </c>
      <c r="G13">
        <v>0</v>
      </c>
      <c r="H13" s="2">
        <v>2.72</v>
      </c>
      <c r="I13" s="4">
        <f>Tableau15[[#This Row],[Mass within the product (g)]]-Tableau15[[#This Row],[Mass in EIME (g)]]</f>
        <v>2.5316451</v>
      </c>
      <c r="J13" s="2"/>
    </row>
    <row r="14" spans="1:10" x14ac:dyDescent="0.3">
      <c r="A14" t="s">
        <v>19</v>
      </c>
      <c r="B14">
        <v>0.37</v>
      </c>
      <c r="C14">
        <v>0.01</v>
      </c>
      <c r="D14">
        <v>3683</v>
      </c>
      <c r="F14" s="2">
        <f>Tableau15[[#This Row],[Concentration (g.T-1)]]/1000000*$B$51</f>
        <v>8.1394300000000003E-2</v>
      </c>
      <c r="G14">
        <v>30</v>
      </c>
      <c r="H14" s="2">
        <v>0</v>
      </c>
      <c r="I14" s="4">
        <f>Tableau15[[#This Row],[Mass within the product (g)]]-Tableau15[[#This Row],[Mass in EIME (g)]]</f>
        <v>8.1394300000000003E-2</v>
      </c>
      <c r="J14" s="2"/>
    </row>
    <row r="15" spans="1:10" x14ac:dyDescent="0.3">
      <c r="A15" t="s">
        <v>20</v>
      </c>
      <c r="B15">
        <v>0.01</v>
      </c>
      <c r="C15">
        <v>0</v>
      </c>
      <c r="D15">
        <v>79</v>
      </c>
      <c r="F15" s="2">
        <f>Tableau15[[#This Row],[Concentration (g.T-1)]]/1000000*$B$51</f>
        <v>1.7459000000000001E-3</v>
      </c>
      <c r="G15">
        <v>30</v>
      </c>
      <c r="H15" s="2"/>
      <c r="I15" s="4">
        <f>Tableau15[[#This Row],[Mass within the product (g)]]-Tableau15[[#This Row],[Mass in EIME (g)]]</f>
        <v>1.7459000000000001E-3</v>
      </c>
      <c r="J15" s="2"/>
    </row>
    <row r="16" spans="1:10" x14ac:dyDescent="0.3">
      <c r="A16" t="s">
        <v>41</v>
      </c>
      <c r="B16">
        <v>0</v>
      </c>
      <c r="C16">
        <v>0</v>
      </c>
      <c r="D16">
        <v>4</v>
      </c>
      <c r="E16" t="s">
        <v>42</v>
      </c>
      <c r="F16" s="2">
        <f>Tableau15[[#This Row],[Concentration (g.T-1)]]/1000000*$B$51</f>
        <v>8.8400000000000007E-5</v>
      </c>
      <c r="G16">
        <v>5</v>
      </c>
      <c r="H16" s="2"/>
      <c r="I16" s="4">
        <f>Tableau15[[#This Row],[Mass within the product (g)]]-Tableau15[[#This Row],[Mass in EIME (g)]]</f>
        <v>8.8400000000000007E-5</v>
      </c>
      <c r="J16" s="2"/>
    </row>
    <row r="17" spans="1:10" x14ac:dyDescent="0.3">
      <c r="A17" t="s">
        <v>21</v>
      </c>
      <c r="B17">
        <v>0.32</v>
      </c>
      <c r="C17">
        <v>0.02</v>
      </c>
      <c r="D17">
        <v>3162</v>
      </c>
      <c r="F17" s="2">
        <f>Tableau15[[#This Row],[Concentration (g.T-1)]]/1000000*$B$51</f>
        <v>6.9880200000000003E-2</v>
      </c>
      <c r="G17">
        <v>5</v>
      </c>
      <c r="H17" s="2">
        <v>0</v>
      </c>
      <c r="I17" s="4">
        <f>Tableau15[[#This Row],[Mass within the product (g)]]-Tableau15[[#This Row],[Mass in EIME (g)]]</f>
        <v>6.9880200000000003E-2</v>
      </c>
      <c r="J17" s="2"/>
    </row>
    <row r="18" spans="1:10" x14ac:dyDescent="0.3">
      <c r="A18" t="s">
        <v>22</v>
      </c>
      <c r="B18">
        <v>0.04</v>
      </c>
      <c r="C18">
        <v>0</v>
      </c>
      <c r="D18">
        <v>417</v>
      </c>
      <c r="F18" s="2">
        <f>Tableau15[[#This Row],[Concentration (g.T-1)]]/1000000*$B$51</f>
        <v>9.2157000000000003E-3</v>
      </c>
      <c r="G18">
        <v>30</v>
      </c>
      <c r="H18" s="2"/>
      <c r="I18" s="4">
        <f>Tableau15[[#This Row],[Mass within the product (g)]]-Tableau15[[#This Row],[Mass in EIME (g)]]</f>
        <v>9.2157000000000003E-3</v>
      </c>
      <c r="J18" s="2"/>
    </row>
    <row r="19" spans="1:10" x14ac:dyDescent="0.3">
      <c r="A19" t="s">
        <v>49</v>
      </c>
      <c r="B19">
        <v>0.02</v>
      </c>
      <c r="C19">
        <v>0</v>
      </c>
      <c r="D19">
        <v>199</v>
      </c>
      <c r="F19" s="2">
        <f>Tableau15[[#This Row],[Concentration (g.T-1)]]/1000000*$B$51</f>
        <v>4.3979000000000006E-3</v>
      </c>
      <c r="G19">
        <v>30</v>
      </c>
      <c r="H19" s="2"/>
      <c r="I19" s="4">
        <f>Tableau15[[#This Row],[Mass within the product (g)]]-Tableau15[[#This Row],[Mass in EIME (g)]]</f>
        <v>4.3979000000000006E-3</v>
      </c>
      <c r="J19" s="2"/>
    </row>
    <row r="20" spans="1:10" x14ac:dyDescent="0.3">
      <c r="A20" t="s">
        <v>23</v>
      </c>
      <c r="B20">
        <v>7.0000000000000007E-2</v>
      </c>
      <c r="C20">
        <v>0</v>
      </c>
      <c r="D20">
        <v>735</v>
      </c>
      <c r="F20" s="2">
        <f>Tableau15[[#This Row],[Concentration (g.T-1)]]/1000000*$B$51</f>
        <v>1.6243500000000001E-2</v>
      </c>
      <c r="G20">
        <v>5</v>
      </c>
      <c r="H20" s="2"/>
      <c r="I20" s="6">
        <f>Tableau15[[#This Row],[Mass within the product (g)]]-Tableau15[[#This Row],[Mass in EIME (g)]]</f>
        <v>1.6243500000000001E-2</v>
      </c>
      <c r="J20" s="2" t="s">
        <v>79</v>
      </c>
    </row>
    <row r="21" spans="1:10" x14ac:dyDescent="0.3">
      <c r="A21" t="s">
        <v>24</v>
      </c>
      <c r="B21">
        <v>0.37</v>
      </c>
      <c r="C21">
        <v>0.01</v>
      </c>
      <c r="D21">
        <v>3699</v>
      </c>
      <c r="F21" s="2">
        <f>Tableau15[[#This Row],[Concentration (g.T-1)]]/1000000*$B$51</f>
        <v>8.1747900000000012E-2</v>
      </c>
      <c r="G21">
        <v>5</v>
      </c>
      <c r="H21" s="2">
        <v>0</v>
      </c>
      <c r="I21" s="4">
        <f>Tableau15[[#This Row],[Mass within the product (g)]]-Tableau15[[#This Row],[Mass in EIME (g)]]</f>
        <v>8.1747900000000012E-2</v>
      </c>
      <c r="J21" s="2"/>
    </row>
    <row r="22" spans="1:10" x14ac:dyDescent="0.3">
      <c r="A22" t="s">
        <v>25</v>
      </c>
      <c r="B22">
        <v>0.02</v>
      </c>
      <c r="C22">
        <v>0</v>
      </c>
      <c r="D22">
        <v>213</v>
      </c>
      <c r="F22" s="2">
        <f>Tableau15[[#This Row],[Concentration (g.T-1)]]/1000000*$B$51</f>
        <v>4.7073000000000002E-3</v>
      </c>
      <c r="G22">
        <v>30</v>
      </c>
      <c r="H22" s="2">
        <v>0</v>
      </c>
      <c r="I22" s="4">
        <f>Tableau15[[#This Row],[Mass within the product (g)]]-Tableau15[[#This Row],[Mass in EIME (g)]]</f>
        <v>4.7073000000000002E-3</v>
      </c>
      <c r="J22" s="2"/>
    </row>
    <row r="23" spans="1:10" x14ac:dyDescent="0.3">
      <c r="A23" t="s">
        <v>26</v>
      </c>
      <c r="B23">
        <v>0</v>
      </c>
      <c r="C23">
        <v>0</v>
      </c>
      <c r="D23">
        <v>43</v>
      </c>
      <c r="F23" s="2">
        <f>Tableau15[[#This Row],[Concentration (g.T-1)]]/1000000*$B$51</f>
        <v>9.5030000000000006E-4</v>
      </c>
      <c r="G23">
        <v>0</v>
      </c>
      <c r="H23" s="2">
        <v>0</v>
      </c>
      <c r="I23" s="6">
        <f>Tableau15[[#This Row],[Mass within the product (g)]]-Tableau15[[#This Row],[Mass in EIME (g)]]</f>
        <v>9.5030000000000006E-4</v>
      </c>
      <c r="J23" s="2" t="s">
        <v>80</v>
      </c>
    </row>
    <row r="24" spans="1:10" x14ac:dyDescent="0.3">
      <c r="A24" t="s">
        <v>27</v>
      </c>
      <c r="B24">
        <v>0</v>
      </c>
      <c r="C24">
        <v>0</v>
      </c>
      <c r="D24">
        <v>38</v>
      </c>
      <c r="E24" t="s">
        <v>42</v>
      </c>
      <c r="F24" s="2">
        <f>Tableau15[[#This Row],[Concentration (g.T-1)]]/1000000*$B$51</f>
        <v>8.3980000000000014E-4</v>
      </c>
      <c r="G24">
        <v>0</v>
      </c>
      <c r="H24" s="2"/>
      <c r="I24" s="6">
        <f>Tableau15[[#This Row],[Mass within the product (g)]]-Tableau15[[#This Row],[Mass in EIME (g)]]</f>
        <v>8.3980000000000014E-4</v>
      </c>
      <c r="J24" s="2" t="s">
        <v>81</v>
      </c>
    </row>
    <row r="25" spans="1:10" x14ac:dyDescent="0.3">
      <c r="A25" t="s">
        <v>28</v>
      </c>
      <c r="B25">
        <v>0</v>
      </c>
      <c r="C25">
        <v>0</v>
      </c>
      <c r="D25">
        <v>43</v>
      </c>
      <c r="E25" t="s">
        <v>42</v>
      </c>
      <c r="F25" s="2">
        <f>Tableau15[[#This Row],[Concentration (g.T-1)]]/1000000*$B$51</f>
        <v>9.5030000000000006E-4</v>
      </c>
      <c r="G25">
        <v>0</v>
      </c>
      <c r="H25" s="2"/>
      <c r="I25" s="4">
        <f>Tableau15[[#This Row],[Mass within the product (g)]]-Tableau15[[#This Row],[Mass in EIME (g)]]</f>
        <v>9.5030000000000006E-4</v>
      </c>
      <c r="J25" s="2"/>
    </row>
    <row r="26" spans="1:10" x14ac:dyDescent="0.3">
      <c r="A26" t="s">
        <v>29</v>
      </c>
      <c r="B26">
        <v>0</v>
      </c>
      <c r="C26">
        <v>0</v>
      </c>
      <c r="D26">
        <v>24</v>
      </c>
      <c r="E26" t="s">
        <v>42</v>
      </c>
      <c r="F26" s="2">
        <f>Tableau15[[#This Row],[Concentration (g.T-1)]]/1000000*$B$51</f>
        <v>5.304000000000001E-4</v>
      </c>
      <c r="G26">
        <v>0</v>
      </c>
      <c r="H26" s="2"/>
      <c r="I26" s="6">
        <f>Tableau15[[#This Row],[Mass within the product (g)]]-Tableau15[[#This Row],[Mass in EIME (g)]]</f>
        <v>5.304000000000001E-4</v>
      </c>
      <c r="J26" s="2" t="s">
        <v>82</v>
      </c>
    </row>
    <row r="27" spans="1:10" x14ac:dyDescent="0.3">
      <c r="A27" t="s">
        <v>48</v>
      </c>
      <c r="B27">
        <v>16.760000000000002</v>
      </c>
      <c r="C27">
        <v>7.1</v>
      </c>
      <c r="D27">
        <v>167557</v>
      </c>
      <c r="F27" s="2">
        <f>Tableau15[[#This Row],[Concentration (g.T-1)]]/1000000*$B$51</f>
        <v>3.7030097000000004</v>
      </c>
      <c r="G27" t="s">
        <v>54</v>
      </c>
      <c r="H27" s="2"/>
      <c r="I27" s="2">
        <f>Tableau15[[#This Row],[Mass within the product (g)]]-Tableau15[[#This Row],[Mass in EIME (g)]]</f>
        <v>3.7030097000000004</v>
      </c>
      <c r="J27" s="2" t="s">
        <v>85</v>
      </c>
    </row>
    <row r="28" spans="1:10" x14ac:dyDescent="0.3">
      <c r="A28" t="s">
        <v>30</v>
      </c>
      <c r="B28">
        <v>9.83</v>
      </c>
      <c r="C28">
        <v>0.42</v>
      </c>
      <c r="D28">
        <v>98273</v>
      </c>
      <c r="F28" s="2">
        <f>Tableau15[[#This Row],[Concentration (g.T-1)]]/1000000*$B$51</f>
        <v>2.1718333000000003</v>
      </c>
      <c r="G28">
        <v>30</v>
      </c>
      <c r="H28" s="2">
        <v>0</v>
      </c>
      <c r="I28" s="4">
        <f>Tableau15[[#This Row],[Mass within the product (g)]]-Tableau15[[#This Row],[Mass in EIME (g)]]</f>
        <v>2.1718333000000003</v>
      </c>
      <c r="J28" s="2"/>
    </row>
    <row r="29" spans="1:10" x14ac:dyDescent="0.3">
      <c r="A29" t="s">
        <v>32</v>
      </c>
      <c r="B29">
        <v>0.28999999999999998</v>
      </c>
      <c r="C29">
        <v>7.0000000000000007E-2</v>
      </c>
      <c r="D29">
        <v>2906</v>
      </c>
      <c r="F29" s="2">
        <f>Tableau15[[#This Row],[Concentration (g.T-1)]]/1000000*$B$51</f>
        <v>6.4222600000000005E-2</v>
      </c>
      <c r="G29">
        <v>5</v>
      </c>
      <c r="H29" s="2">
        <v>0</v>
      </c>
      <c r="I29" s="4">
        <f>Tableau15[[#This Row],[Mass within the product (g)]]-Tableau15[[#This Row],[Mass in EIME (g)]]</f>
        <v>6.4222600000000005E-2</v>
      </c>
      <c r="J29" s="2"/>
    </row>
    <row r="30" spans="1:10" x14ac:dyDescent="0.3">
      <c r="A30" t="s">
        <v>33</v>
      </c>
      <c r="B30">
        <v>0</v>
      </c>
      <c r="C30">
        <v>0</v>
      </c>
      <c r="D30">
        <v>23</v>
      </c>
      <c r="E30" t="s">
        <v>42</v>
      </c>
      <c r="F30" s="2">
        <f>Tableau15[[#This Row],[Concentration (g.T-1)]]/1000000*$B$51</f>
        <v>5.0830000000000005E-4</v>
      </c>
      <c r="G30">
        <v>0</v>
      </c>
      <c r="H30" s="2"/>
      <c r="I30" s="6">
        <f>Tableau15[[#This Row],[Mass within the product (g)]]-Tableau15[[#This Row],[Mass in EIME (g)]]</f>
        <v>5.0830000000000005E-4</v>
      </c>
      <c r="J30" s="2" t="s">
        <v>83</v>
      </c>
    </row>
    <row r="31" spans="1:10" x14ac:dyDescent="0.3">
      <c r="A31" t="s">
        <v>34</v>
      </c>
      <c r="B31">
        <v>0</v>
      </c>
      <c r="C31">
        <v>0</v>
      </c>
      <c r="D31">
        <v>12</v>
      </c>
      <c r="E31" t="s">
        <v>42</v>
      </c>
      <c r="F31" s="2">
        <f>Tableau15[[#This Row],[Concentration (g.T-1)]]/1000000*$B$51</f>
        <v>2.6520000000000005E-4</v>
      </c>
      <c r="G31">
        <v>5</v>
      </c>
      <c r="H31" s="2"/>
      <c r="I31" s="6">
        <f>Tableau15[[#This Row],[Mass within the product (g)]]-Tableau15[[#This Row],[Mass in EIME (g)]]</f>
        <v>2.6520000000000005E-4</v>
      </c>
      <c r="J31" s="2" t="s">
        <v>84</v>
      </c>
    </row>
    <row r="32" spans="1:10" x14ac:dyDescent="0.3">
      <c r="A32" t="s">
        <v>35</v>
      </c>
      <c r="B32">
        <v>0.11</v>
      </c>
      <c r="C32">
        <v>0</v>
      </c>
      <c r="D32">
        <v>1097</v>
      </c>
      <c r="F32" s="2">
        <f>Tableau15[[#This Row],[Concentration (g.T-1)]]/1000000*$B$51</f>
        <v>2.4243700000000003E-2</v>
      </c>
      <c r="G32">
        <v>30</v>
      </c>
      <c r="H32" s="2">
        <v>0</v>
      </c>
      <c r="I32" s="4">
        <f>Tableau15[[#This Row],[Mass within the product (g)]]-Tableau15[[#This Row],[Mass in EIME (g)]]</f>
        <v>2.4243700000000003E-2</v>
      </c>
      <c r="J32" s="2"/>
    </row>
    <row r="33" spans="1:10" x14ac:dyDescent="0.3">
      <c r="A33" t="s">
        <v>36</v>
      </c>
      <c r="B33">
        <v>16.670000000000002</v>
      </c>
      <c r="D33">
        <f>Tableau15[[#This Row],[Concentration (%wt)]]/100*1000000</f>
        <v>166700.00000000003</v>
      </c>
      <c r="F33" s="2">
        <f>Tableau15[[#This Row],[Concentration (g.T-1)]]/1000000*$B$51</f>
        <v>3.6840700000000011</v>
      </c>
      <c r="G33">
        <v>5</v>
      </c>
      <c r="H33" s="2"/>
      <c r="I33" s="2">
        <f>Tableau15[[#This Row],[Mass within the product (g)]]-Tableau15[[#This Row],[Mass in EIME (g)]]</f>
        <v>3.6840700000000011</v>
      </c>
      <c r="J33" s="2"/>
    </row>
    <row r="34" spans="1:10" x14ac:dyDescent="0.3">
      <c r="A34" t="s">
        <v>37</v>
      </c>
      <c r="B34">
        <v>23.98</v>
      </c>
      <c r="D34">
        <f>Tableau15[[#This Row],[Concentration (%wt)]]/100*1000000</f>
        <v>239800</v>
      </c>
      <c r="F34" s="2">
        <f>Tableau15[[#This Row],[Concentration (g.T-1)]]/1000000*$B$51</f>
        <v>5.2995800000000006</v>
      </c>
      <c r="G34">
        <v>5</v>
      </c>
      <c r="H34" s="2"/>
      <c r="I34" s="2">
        <f>Tableau15[[#This Row],[Mass within the product (g)]]-Tableau15[[#This Row],[Mass in EIME (g)]]</f>
        <v>5.2995800000000006</v>
      </c>
      <c r="J34" s="2"/>
    </row>
    <row r="35" spans="1:10" x14ac:dyDescent="0.3">
      <c r="A35" t="s">
        <v>38</v>
      </c>
      <c r="B35">
        <v>1.78</v>
      </c>
      <c r="D35">
        <f>Tableau15[[#This Row],[Concentration (%wt)]]/100*1000000</f>
        <v>17800</v>
      </c>
      <c r="F35" s="2">
        <f>Tableau15[[#This Row],[Concentration (g.T-1)]]/1000000*$B$51</f>
        <v>0.39338000000000001</v>
      </c>
      <c r="G35">
        <v>5</v>
      </c>
      <c r="H35" s="2"/>
      <c r="I35" s="2">
        <f>Tableau15[[#This Row],[Mass within the product (g)]]-Tableau15[[#This Row],[Mass in EIME (g)]]</f>
        <v>0.39338000000000001</v>
      </c>
      <c r="J35" s="2"/>
    </row>
    <row r="36" spans="1:10" x14ac:dyDescent="0.3">
      <c r="A36" t="s">
        <v>55</v>
      </c>
      <c r="F36" s="2">
        <f>Tableau15[[#This Row],[Concentration (g.T-1)]]/1000000*$B$51</f>
        <v>0</v>
      </c>
      <c r="H36" s="2">
        <v>0</v>
      </c>
      <c r="I36" s="4">
        <f>Tableau15[[#This Row],[Mass within the product (g)]]-Tableau15[[#This Row],[Mass in EIME (g)]]</f>
        <v>0</v>
      </c>
      <c r="J36" s="2" t="s">
        <v>69</v>
      </c>
    </row>
    <row r="37" spans="1:10" x14ac:dyDescent="0.3">
      <c r="A37" t="s">
        <v>56</v>
      </c>
      <c r="F37" s="2">
        <f>Tableau15[[#This Row],[Concentration (g.T-1)]]/1000000*$B$51</f>
        <v>0</v>
      </c>
      <c r="H37" s="2">
        <v>7.23</v>
      </c>
      <c r="I37" s="4">
        <f>Tableau15[[#This Row],[Mass within the product (g)]]-Tableau15[[#This Row],[Mass in EIME (g)]]</f>
        <v>-7.23</v>
      </c>
      <c r="J37" s="2" t="s">
        <v>70</v>
      </c>
    </row>
    <row r="38" spans="1:10" x14ac:dyDescent="0.3">
      <c r="A38" t="s">
        <v>57</v>
      </c>
      <c r="F38" s="2">
        <f>Tableau15[[#This Row],[Concentration (g.T-1)]]/1000000*$B$51</f>
        <v>0</v>
      </c>
      <c r="H38" s="2">
        <v>4.66</v>
      </c>
      <c r="I38" s="4">
        <f>Tableau15[[#This Row],[Mass within the product (g)]]-Tableau15[[#This Row],[Mass in EIME (g)]]</f>
        <v>-4.66</v>
      </c>
      <c r="J38" s="2" t="s">
        <v>70</v>
      </c>
    </row>
    <row r="39" spans="1:10" x14ac:dyDescent="0.3">
      <c r="A39" t="s">
        <v>58</v>
      </c>
      <c r="F39" s="2">
        <f>Tableau15[[#This Row],[Concentration (g.T-1)]]/1000000*$B$51</f>
        <v>0</v>
      </c>
      <c r="H39" s="2">
        <v>0</v>
      </c>
      <c r="I39" s="4">
        <f>Tableau15[[#This Row],[Mass within the product (g)]]-Tableau15[[#This Row],[Mass in EIME (g)]]</f>
        <v>0</v>
      </c>
      <c r="J39" s="2" t="s">
        <v>70</v>
      </c>
    </row>
    <row r="40" spans="1:10" x14ac:dyDescent="0.3">
      <c r="A40" t="s">
        <v>59</v>
      </c>
      <c r="F40" s="2">
        <f>Tableau15[[#This Row],[Concentration (g.T-1)]]/1000000*$B$51</f>
        <v>0</v>
      </c>
      <c r="H40" s="2">
        <v>0.63500000000000001</v>
      </c>
      <c r="I40" s="4">
        <f>Tableau15[[#This Row],[Mass within the product (g)]]-Tableau15[[#This Row],[Mass in EIME (g)]]</f>
        <v>-0.63500000000000001</v>
      </c>
      <c r="J40" s="2" t="s">
        <v>70</v>
      </c>
    </row>
    <row r="41" spans="1:10" x14ac:dyDescent="0.3">
      <c r="A41" t="s">
        <v>60</v>
      </c>
      <c r="F41" s="2">
        <f>Tableau15[[#This Row],[Concentration (g.T-1)]]/1000000*$B$51</f>
        <v>0</v>
      </c>
      <c r="H41" s="2">
        <v>0</v>
      </c>
      <c r="I41" s="4">
        <f>Tableau15[[#This Row],[Mass within the product (g)]]-Tableau15[[#This Row],[Mass in EIME (g)]]</f>
        <v>0</v>
      </c>
      <c r="J41" s="2" t="s">
        <v>70</v>
      </c>
    </row>
    <row r="42" spans="1:10" x14ac:dyDescent="0.3">
      <c r="A42" t="s">
        <v>61</v>
      </c>
      <c r="F42" s="2">
        <f>Tableau15[[#This Row],[Concentration (g.T-1)]]/1000000*$B$51</f>
        <v>0</v>
      </c>
      <c r="H42" s="2">
        <v>0</v>
      </c>
      <c r="I42" s="4">
        <f>Tableau15[[#This Row],[Mass within the product (g)]]-Tableau15[[#This Row],[Mass in EIME (g)]]</f>
        <v>0</v>
      </c>
      <c r="J42" s="2" t="s">
        <v>68</v>
      </c>
    </row>
    <row r="43" spans="1:10" x14ac:dyDescent="0.3">
      <c r="A43" t="s">
        <v>62</v>
      </c>
      <c r="F43" s="2">
        <f>Tableau15[[#This Row],[Concentration (g.T-1)]]/1000000*$B$51</f>
        <v>0</v>
      </c>
      <c r="H43" s="2">
        <v>0</v>
      </c>
      <c r="I43" s="4">
        <f>Tableau15[[#This Row],[Mass within the product (g)]]-Tableau15[[#This Row],[Mass in EIME (g)]]</f>
        <v>0</v>
      </c>
      <c r="J43" s="2" t="s">
        <v>70</v>
      </c>
    </row>
    <row r="44" spans="1:10" x14ac:dyDescent="0.3">
      <c r="A44" t="s">
        <v>63</v>
      </c>
      <c r="F44" s="2">
        <f>Tableau15[[#This Row],[Concentration (g.T-1)]]/1000000*$B$51</f>
        <v>0</v>
      </c>
      <c r="H44" s="2">
        <v>0</v>
      </c>
      <c r="I44" s="4">
        <f>Tableau15[[#This Row],[Mass within the product (g)]]-Tableau15[[#This Row],[Mass in EIME (g)]]</f>
        <v>0</v>
      </c>
      <c r="J44" s="2" t="s">
        <v>70</v>
      </c>
    </row>
    <row r="45" spans="1:10" x14ac:dyDescent="0.3">
      <c r="A45" t="s">
        <v>64</v>
      </c>
      <c r="F45" s="2">
        <f>Tableau15[[#This Row],[Concentration (g.T-1)]]/1000000*$B$51</f>
        <v>0</v>
      </c>
      <c r="H45" s="2">
        <v>0</v>
      </c>
      <c r="I45" s="4">
        <f>Tableau15[[#This Row],[Mass within the product (g)]]-Tableau15[[#This Row],[Mass in EIME (g)]]</f>
        <v>0</v>
      </c>
      <c r="J45" s="2" t="s">
        <v>70</v>
      </c>
    </row>
    <row r="46" spans="1:10" x14ac:dyDescent="0.3">
      <c r="A46" t="s">
        <v>65</v>
      </c>
      <c r="F46" s="2">
        <f>Tableau15[[#This Row],[Concentration (g.T-1)]]/1000000*$B$51</f>
        <v>0</v>
      </c>
      <c r="H46" s="2">
        <v>0</v>
      </c>
      <c r="I46" s="4">
        <f>Tableau15[[#This Row],[Mass within the product (g)]]-Tableau15[[#This Row],[Mass in EIME (g)]]</f>
        <v>0</v>
      </c>
      <c r="J46" s="2" t="s">
        <v>70</v>
      </c>
    </row>
    <row r="47" spans="1:10" x14ac:dyDescent="0.3">
      <c r="A47" t="s">
        <v>66</v>
      </c>
      <c r="F47" s="2">
        <f>Tableau15[[#This Row],[Concentration (g.T-1)]]/1000000*$B$51</f>
        <v>0</v>
      </c>
      <c r="H47" s="2">
        <v>0</v>
      </c>
      <c r="I47" s="4">
        <f>Tableau15[[#This Row],[Mass within the product (g)]]-Tableau15[[#This Row],[Mass in EIME (g)]]</f>
        <v>0</v>
      </c>
      <c r="J47" s="2" t="s">
        <v>70</v>
      </c>
    </row>
    <row r="51" spans="1:7" x14ac:dyDescent="0.3">
      <c r="A51" t="s">
        <v>40</v>
      </c>
      <c r="B51">
        <v>22.1</v>
      </c>
      <c r="F51" s="5">
        <f>SUM(F32:F35,F28:F29,F25,F21:F22,F12:F19,F9:F10,F7,F5,F2:F3,F27)/SUM(F2:F35)</f>
        <v>0.99534598138392538</v>
      </c>
      <c r="G51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Global</vt:lpstr>
      <vt:lpstr>Aloo 1</vt:lpstr>
      <vt:lpstr>Aloo 2</vt:lpstr>
      <vt:lpstr>POP</vt:lpstr>
      <vt:lpstr>Main 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Lees-Perasso</dc:creator>
  <cp:lastModifiedBy>Etienne Lees-Perasso</cp:lastModifiedBy>
  <dcterms:created xsi:type="dcterms:W3CDTF">2015-06-05T18:19:34Z</dcterms:created>
  <dcterms:modified xsi:type="dcterms:W3CDTF">2025-08-06T12:23:51Z</dcterms:modified>
</cp:coreProperties>
</file>