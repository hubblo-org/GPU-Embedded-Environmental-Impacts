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L4\"/>
    </mc:Choice>
  </mc:AlternateContent>
  <xr:revisionPtr revIDLastSave="0" documentId="13_ncr:1_{D60AABD8-3104-4D9D-A299-E2B8D0CF5B1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15" i="1" l="1"/>
</calcChain>
</file>

<file path=xl/sharedStrings.xml><?xml version="1.0" encoding="utf-8"?>
<sst xmlns="http://schemas.openxmlformats.org/spreadsheetml/2006/main" count="87" uniqueCount="51">
  <si>
    <t>Flow</t>
  </si>
  <si>
    <t/>
  </si>
  <si>
    <t>Product flow / Materials production / Metals and semimetals / copper</t>
  </si>
  <si>
    <t>kg</t>
  </si>
  <si>
    <t>Product flow / Materials production / Metals and semimetals / steel</t>
  </si>
  <si>
    <t>Product flow / Materials production / Glass and ceramics / glass fibre</t>
  </si>
  <si>
    <t>Product flow / Materials production / Plastics / epoxy resin</t>
  </si>
  <si>
    <t>Product flow / Materials production / Inorganic chemicals / quartz sand</t>
  </si>
  <si>
    <t>Product flow / Materials production / Metals and semimetals / silicon</t>
  </si>
  <si>
    <t>Product flow / Materials production / Organic chemicals / tetrabromobisphenol A</t>
  </si>
  <si>
    <t>Product flow / Materials production / Plastics / epoxy resin liquid; production mix, at plant</t>
  </si>
  <si>
    <t>Product flow / Materials production / Metals and semimetals / nickel</t>
  </si>
  <si>
    <t>Product flow / Materials production / Inorganic chemicals / alumine</t>
  </si>
  <si>
    <t>Product flow / Materials production / Metals and semimetals / tin</t>
  </si>
  <si>
    <t>Product flow / Materials production / Inorganic chemicals / barium oxide</t>
  </si>
  <si>
    <t>Product flow / Materials production / Other mineralic materials / single crystalline silicon; Czochralski process; at plant; electronic grade</t>
  </si>
  <si>
    <t>Product flow / Materials production / Inorganic chemicals / titanium dioxide</t>
  </si>
  <si>
    <t>Product flow / Materials production / Inorganic chemicals / antimony trioxide</t>
  </si>
  <si>
    <t>Product flow / Materials production / Metals and semimetals / silver; 27,3% recycled content; production mix, at plant</t>
  </si>
  <si>
    <t>Product flow / Materials production / Metals and semimetals / titanium</t>
  </si>
  <si>
    <t>Product flow / Materials production / Metals and semimetals / gold</t>
  </si>
  <si>
    <t>Product flow / Materials production / Metals and semimetals / silver</t>
  </si>
  <si>
    <t>Product flow / ecoivent / iron pellet</t>
  </si>
  <si>
    <t>Product flow / Materials production / Inorganic chemicals / quick lime</t>
  </si>
  <si>
    <t>Product flow / Materials production / Inorganic chemicals / magnesium oxide</t>
  </si>
  <si>
    <t>Product flow / Materials production / Metals and semimetals / zinc</t>
  </si>
  <si>
    <t>Product flow / Materials production / Metals and semimetals / lead</t>
  </si>
  <si>
    <t>Product flow / Materials production / Metals and semimetals / aluminium</t>
  </si>
  <si>
    <t>Product flow / ecoivent / palladium</t>
  </si>
  <si>
    <t>Product flow / Materials production / Other materials / raw materials (unspecified)</t>
  </si>
  <si>
    <t>Product flow / ecoivent / copper oxide</t>
  </si>
  <si>
    <t>Product flow / Materials production / Plastics / polyoxymethylene (POM) granulate; 100% from waste recycling, at plant</t>
  </si>
  <si>
    <t>Product flow / Materials production / Inorganic chemicals / lead oxide</t>
  </si>
  <si>
    <t>Product flow / Materials production / Metals and semimetals / stainless steel with chrome</t>
  </si>
  <si>
    <t>Product flow / Materials production / Inorganic chemicals / talc</t>
  </si>
  <si>
    <t>Product flow / Materials production / Metals and semimetals / magnesium</t>
  </si>
  <si>
    <t>Product flow / Materials production / Metals and semimetals / chromium</t>
  </si>
  <si>
    <t>Product flow / Materials production / Organic chemicals / carbon black</t>
  </si>
  <si>
    <t>Weight</t>
  </si>
  <si>
    <t>Ecosystem data</t>
  </si>
  <si>
    <t>Copper</t>
  </si>
  <si>
    <t>Steel</t>
  </si>
  <si>
    <t>PCB support</t>
  </si>
  <si>
    <t>PCB other base metals</t>
  </si>
  <si>
    <t>ABS-PC</t>
  </si>
  <si>
    <t>Aluminium</t>
  </si>
  <si>
    <t>PE within wire</t>
  </si>
  <si>
    <t>Lead</t>
  </si>
  <si>
    <t>Silver</t>
  </si>
  <si>
    <t>Gold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</si>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</sst>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C35" sqref="C35:C36"/>
    </sheetView>
  </sheetViews>
  <sheetFormatPr baseColWidth="10" defaultRowHeight="12.6" x14ac:dyDescent="0.2"/>
  <cols>
    <col min="1" max="1" width="109.81640625" bestFit="1" customWidth="1"/>
  </cols>
  <sheetData>
    <row r="1" spans="1:6" x14ac:dyDescent="0.2">
      <c r="A1" t="s">
        <v>0</v>
      </c>
      <c r="B1" t="s">
        <v>38</v>
      </c>
    </row>
    <row r="2" spans="1:6" x14ac:dyDescent="0.2">
      <c r="A2" t="s">
        <v>1</v>
      </c>
      <c r="B2" t="s">
        <v>3</v>
      </c>
    </row>
    <row r="3" spans="1:6" x14ac:dyDescent="0.2">
      <c r="A3" t="s">
        <v>2</v>
      </c>
      <c r="B3" s="1">
        <v>4.929202978077709E-2</v>
      </c>
      <c r="C3" t="s">
        <v>40</v>
      </c>
      <c r="E3" s="2" t="s">
        <v>39</v>
      </c>
      <c r="F3" s="3" t="s">
        <v>3</v>
      </c>
    </row>
    <row r="4" spans="1:6" x14ac:dyDescent="0.2">
      <c r="A4" t="s">
        <v>4</v>
      </c>
      <c r="B4" s="1">
        <v>4.7100000000000003E-2</v>
      </c>
      <c r="C4" t="s">
        <v>41</v>
      </c>
      <c r="E4" t="s">
        <v>40</v>
      </c>
      <c r="F4">
        <f>SUMIF($C$3:$C$78,E4,$B$3:$B$78)</f>
        <v>4.9292912704336986E-2</v>
      </c>
    </row>
    <row r="5" spans="1:6" x14ac:dyDescent="0.2">
      <c r="A5" t="s">
        <v>5</v>
      </c>
      <c r="B5" s="1">
        <v>2.22580709313E-2</v>
      </c>
      <c r="C5" t="s">
        <v>42</v>
      </c>
      <c r="E5" t="s">
        <v>41</v>
      </c>
      <c r="F5">
        <f t="shared" ref="F5:F13" si="0">SUMIF($C$3:$C$78,E5,$B$3:$B$78)</f>
        <v>4.7118126068945457E-2</v>
      </c>
    </row>
    <row r="6" spans="1:6" x14ac:dyDescent="0.2">
      <c r="A6" t="s">
        <v>6</v>
      </c>
      <c r="B6" s="1">
        <v>1.435283421074E-2</v>
      </c>
      <c r="C6" t="s">
        <v>42</v>
      </c>
      <c r="E6" t="s">
        <v>42</v>
      </c>
      <c r="F6">
        <f t="shared" si="0"/>
        <v>4.4795438770568886E-2</v>
      </c>
    </row>
    <row r="7" spans="1:6" x14ac:dyDescent="0.2">
      <c r="A7" t="s">
        <v>7</v>
      </c>
      <c r="B7" s="1">
        <v>2.1868547229525362E-3</v>
      </c>
      <c r="C7" t="s">
        <v>42</v>
      </c>
      <c r="E7" t="s">
        <v>43</v>
      </c>
      <c r="F7">
        <f t="shared" si="0"/>
        <v>2.0338215623078868E-3</v>
      </c>
    </row>
    <row r="8" spans="1:6" x14ac:dyDescent="0.2">
      <c r="A8" t="s">
        <v>8</v>
      </c>
      <c r="B8" s="1">
        <v>2.0222411703789268E-3</v>
      </c>
      <c r="C8" t="s">
        <v>42</v>
      </c>
      <c r="E8" t="s">
        <v>44</v>
      </c>
      <c r="F8">
        <f t="shared" si="0"/>
        <v>0</v>
      </c>
    </row>
    <row r="9" spans="1:6" x14ac:dyDescent="0.2">
      <c r="A9" t="s">
        <v>9</v>
      </c>
      <c r="B9" s="1">
        <v>1.9976600745039998E-3</v>
      </c>
      <c r="C9" t="s">
        <v>42</v>
      </c>
      <c r="E9" t="s">
        <v>45</v>
      </c>
      <c r="F9">
        <f t="shared" si="0"/>
        <v>8.2095543936652304E-4</v>
      </c>
    </row>
    <row r="10" spans="1:6" x14ac:dyDescent="0.2">
      <c r="A10" t="s">
        <v>10</v>
      </c>
      <c r="B10" s="1">
        <v>1.6401962259981061E-3</v>
      </c>
      <c r="C10" t="s">
        <v>42</v>
      </c>
      <c r="E10" t="s">
        <v>46</v>
      </c>
      <c r="F10">
        <f t="shared" si="0"/>
        <v>0</v>
      </c>
    </row>
    <row r="11" spans="1:6" x14ac:dyDescent="0.2">
      <c r="A11" t="s">
        <v>11</v>
      </c>
      <c r="B11" s="1">
        <v>1.090580130864383E-3</v>
      </c>
      <c r="C11" t="s">
        <v>43</v>
      </c>
      <c r="E11" t="s">
        <v>47</v>
      </c>
      <c r="F11">
        <f t="shared" si="0"/>
        <v>4.4800596596213537E-6</v>
      </c>
    </row>
    <row r="12" spans="1:6" x14ac:dyDescent="0.2">
      <c r="A12" t="s">
        <v>12</v>
      </c>
      <c r="B12" s="1">
        <v>8.1830640911197757E-4</v>
      </c>
      <c r="C12" t="s">
        <v>45</v>
      </c>
      <c r="E12" t="s">
        <v>48</v>
      </c>
      <c r="F12">
        <f t="shared" si="0"/>
        <v>8.0371726881365055E-5</v>
      </c>
    </row>
    <row r="13" spans="1:6" x14ac:dyDescent="0.2">
      <c r="A13" t="s">
        <v>13</v>
      </c>
      <c r="B13" s="1">
        <v>4.1110983812408142E-4</v>
      </c>
      <c r="C13" t="s">
        <v>43</v>
      </c>
      <c r="E13" t="s">
        <v>49</v>
      </c>
      <c r="F13">
        <f t="shared" si="0"/>
        <v>3.6228701818181823E-5</v>
      </c>
    </row>
    <row r="14" spans="1:6" x14ac:dyDescent="0.2">
      <c r="A14" t="s">
        <v>14</v>
      </c>
      <c r="B14" s="1">
        <v>3.1857924433719321E-4</v>
      </c>
      <c r="C14" t="s">
        <v>42</v>
      </c>
    </row>
    <row r="15" spans="1:6" x14ac:dyDescent="0.2">
      <c r="A15" t="s">
        <v>15</v>
      </c>
      <c r="B15" s="1">
        <v>2.7328104E-4</v>
      </c>
      <c r="C15" t="s">
        <v>43</v>
      </c>
      <c r="E15" s="3" t="s">
        <v>50</v>
      </c>
      <c r="F15">
        <f>SUM(F4:F13)</f>
        <v>0.14418233503388489</v>
      </c>
    </row>
    <row r="16" spans="1:6" x14ac:dyDescent="0.2">
      <c r="A16" t="s">
        <v>16</v>
      </c>
      <c r="B16" s="1">
        <v>1.432901457443956E-4</v>
      </c>
      <c r="C16" t="s">
        <v>43</v>
      </c>
    </row>
    <row r="17" spans="1:3" x14ac:dyDescent="0.2">
      <c r="A17" t="s">
        <v>17</v>
      </c>
      <c r="B17" s="1">
        <v>6.095950101818182E-5</v>
      </c>
      <c r="C17" t="s">
        <v>43</v>
      </c>
    </row>
    <row r="18" spans="1:3" x14ac:dyDescent="0.2">
      <c r="A18" t="s">
        <v>18</v>
      </c>
      <c r="B18" s="1">
        <v>5.7988381818181809E-5</v>
      </c>
      <c r="C18" t="s">
        <v>48</v>
      </c>
    </row>
    <row r="19" spans="1:3" x14ac:dyDescent="0.2">
      <c r="A19" t="s">
        <v>19</v>
      </c>
      <c r="B19" s="1">
        <v>4.18933908E-5</v>
      </c>
      <c r="C19" t="s">
        <v>43</v>
      </c>
    </row>
    <row r="20" spans="1:3" x14ac:dyDescent="0.2">
      <c r="A20" t="s">
        <v>20</v>
      </c>
      <c r="B20" s="1">
        <v>3.6228701818181823E-5</v>
      </c>
      <c r="C20" t="s">
        <v>49</v>
      </c>
    </row>
    <row r="21" spans="1:3" x14ac:dyDescent="0.2">
      <c r="A21" t="s">
        <v>21</v>
      </c>
      <c r="B21" s="1">
        <v>2.238334506318324E-5</v>
      </c>
      <c r="C21" t="s">
        <v>48</v>
      </c>
    </row>
    <row r="22" spans="1:3" x14ac:dyDescent="0.2">
      <c r="A22" t="s">
        <v>22</v>
      </c>
      <c r="B22" s="1">
        <v>1.7471345454545448E-5</v>
      </c>
      <c r="C22" t="s">
        <v>41</v>
      </c>
    </row>
    <row r="23" spans="1:3" x14ac:dyDescent="0.2">
      <c r="A23" t="s">
        <v>23</v>
      </c>
      <c r="B23" s="1">
        <v>1.667880090273874E-5</v>
      </c>
      <c r="C23" t="s">
        <v>42</v>
      </c>
    </row>
    <row r="24" spans="1:3" x14ac:dyDescent="0.2">
      <c r="A24" t="s">
        <v>24</v>
      </c>
      <c r="B24" s="1">
        <v>5.7259737248766307E-6</v>
      </c>
      <c r="C24" t="s">
        <v>43</v>
      </c>
    </row>
    <row r="25" spans="1:3" x14ac:dyDescent="0.2">
      <c r="A25" t="s">
        <v>25</v>
      </c>
      <c r="B25" s="1">
        <v>5.3991046000000003E-6</v>
      </c>
      <c r="C25" t="s">
        <v>43</v>
      </c>
    </row>
    <row r="26" spans="1:3" x14ac:dyDescent="0.2">
      <c r="A26" t="s">
        <v>26</v>
      </c>
      <c r="B26" s="1">
        <v>3.69628009598499E-6</v>
      </c>
      <c r="C26" t="s">
        <v>47</v>
      </c>
    </row>
    <row r="27" spans="1:3" x14ac:dyDescent="0.2">
      <c r="A27" t="s">
        <v>27</v>
      </c>
      <c r="B27" s="1">
        <v>2.6490302545454539E-6</v>
      </c>
      <c r="C27" t="s">
        <v>45</v>
      </c>
    </row>
    <row r="28" spans="1:3" x14ac:dyDescent="0.2">
      <c r="A28" t="s">
        <v>28</v>
      </c>
      <c r="B28" s="1">
        <v>1.3329459640405471E-6</v>
      </c>
      <c r="C28" t="s">
        <v>43</v>
      </c>
    </row>
    <row r="29" spans="1:3" x14ac:dyDescent="0.2">
      <c r="A29" t="s">
        <v>29</v>
      </c>
      <c r="B29" s="1">
        <v>9.6844516363636373E-7</v>
      </c>
      <c r="C29" t="s">
        <v>42</v>
      </c>
    </row>
    <row r="30" spans="1:3" x14ac:dyDescent="0.2">
      <c r="A30" t="s">
        <v>30</v>
      </c>
      <c r="B30" s="1">
        <v>8.8292355989583333E-7</v>
      </c>
      <c r="C30" t="s">
        <v>40</v>
      </c>
    </row>
    <row r="31" spans="1:3" x14ac:dyDescent="0.2">
      <c r="A31" t="s">
        <v>31</v>
      </c>
      <c r="B31" s="1">
        <v>8.3519214545454546E-7</v>
      </c>
      <c r="C31" t="s">
        <v>42</v>
      </c>
    </row>
    <row r="32" spans="1:3" x14ac:dyDescent="0.2">
      <c r="A32" t="s">
        <v>32</v>
      </c>
      <c r="B32" s="1">
        <v>7.8377956363636367E-7</v>
      </c>
      <c r="C32" t="s">
        <v>47</v>
      </c>
    </row>
    <row r="33" spans="1:3" x14ac:dyDescent="0.2">
      <c r="A33" t="s">
        <v>33</v>
      </c>
      <c r="B33" s="1">
        <v>6.5472349090909085E-7</v>
      </c>
      <c r="C33" t="s">
        <v>41</v>
      </c>
    </row>
    <row r="34" spans="1:3" x14ac:dyDescent="0.2">
      <c r="A34" t="s">
        <v>34</v>
      </c>
      <c r="B34" s="1">
        <v>4.4341675020932048E-7</v>
      </c>
      <c r="C34" t="s">
        <v>42</v>
      </c>
    </row>
    <row r="35" spans="1:3" x14ac:dyDescent="0.2">
      <c r="A35" t="s">
        <v>35</v>
      </c>
      <c r="B35" s="1">
        <v>1.4390340000000001E-7</v>
      </c>
      <c r="C35" t="s">
        <v>43</v>
      </c>
    </row>
    <row r="36" spans="1:3" x14ac:dyDescent="0.2">
      <c r="A36" t="s">
        <v>36</v>
      </c>
      <c r="B36" s="1">
        <v>1.0558806792784159E-7</v>
      </c>
      <c r="C36" t="s">
        <v>43</v>
      </c>
    </row>
    <row r="37" spans="1:3" x14ac:dyDescent="0.2">
      <c r="A37" t="s">
        <v>37</v>
      </c>
      <c r="B37" s="1">
        <v>7.6335396081713701E-8</v>
      </c>
      <c r="C3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2025-08-06T16:23:24Z</dcterms:created>
  <dcterms:modified xsi:type="dcterms:W3CDTF">2025-08-06T16:32:09Z</dcterms:modified>
</cp:coreProperties>
</file>